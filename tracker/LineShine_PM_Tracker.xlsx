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asks" sheetId="2" state="visible" r:id="rId2"/>
    <sheet name="Daily Check-ins" sheetId="3" state="visible" r:id="rId3"/>
    <sheet name="Learning" sheetId="4" state="visible" r:id="rId4"/>
    <sheet name="Lists" sheetId="5" state="visible" r:id="rId5"/>
    <sheet name="Team" sheetId="6" state="visible" r:id="rId6"/>
  </sheets>
  <definedNames>
    <definedName name="_xlnm._FilterDatabase" localSheetId="1" hidden="1">'Tasks'!$A$4:$N$204</definedName>
    <definedName name="_xlnm._FilterDatabase" localSheetId="2" hidden="1">'Daily Check-ins'!$A$4:$G$404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d, mmm d yyyy"/>
    <numFmt numFmtId="165" formatCode="ddd, mmm d yyyy, h:mm AM/PM"/>
    <numFmt numFmtId="166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0A2A5C"/>
      <sz val="18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0A2A5C"/>
      <sz val="10"/>
    </font>
    <font>
      <name val="Arial"/>
      <color rgb="001155CC"/>
      <sz val="10"/>
      <u val="single"/>
    </font>
    <font>
      <name val="Arial"/>
      <b val="1"/>
      <color rgb="00B42318"/>
      <sz val="10"/>
    </font>
    <font>
      <name val="Arial"/>
      <b val="1"/>
      <color rgb="000A2A5C"/>
      <sz val="12"/>
    </font>
    <font>
      <name val="Arial"/>
      <color rgb="00555555"/>
      <sz val="9"/>
    </font>
    <font>
      <name val="Arial"/>
      <b val="1"/>
      <color rgb="000A2A5C"/>
      <sz val="20"/>
    </font>
  </fonts>
  <fills count="6">
    <fill>
      <patternFill/>
    </fill>
    <fill>
      <patternFill patternType="gray125"/>
    </fill>
    <fill>
      <patternFill patternType="solid">
        <fgColor rgb="000A2A5C"/>
      </patternFill>
    </fill>
    <fill>
      <patternFill patternType="solid">
        <fgColor rgb="00FFF9E6"/>
      </patternFill>
    </fill>
    <fill>
      <patternFill patternType="solid">
        <fgColor rgb="00F2F4F7"/>
      </patternFill>
    </fill>
    <fill>
      <patternFill patternType="solid">
        <fgColor rgb="00E8EEF7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/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165" fontId="10" fillId="0" borderId="0" pivotButton="0" quotePrefix="0" xfId="0"/>
    <xf numFmtId="0" fontId="11" fillId="0" borderId="0" pivotButton="0" quotePrefix="0" xfId="0"/>
    <xf numFmtId="0" fontId="12" fillId="5" borderId="0" pivotButton="0" quotePrefix="0" xfId="0"/>
    <xf numFmtId="0" fontId="0" fillId="5" borderId="0" pivotButton="0" quotePrefix="0" xfId="0"/>
    <xf numFmtId="1" fontId="13" fillId="5" borderId="0" applyAlignment="1" pivotButton="0" quotePrefix="0" xfId="0">
      <alignment horizontal="left"/>
    </xf>
    <xf numFmtId="9" fontId="13" fillId="5" borderId="0" applyAlignment="1" pivotButton="0" quotePrefix="0" xfId="0">
      <alignment horizontal="left"/>
    </xf>
    <xf numFmtId="49" fontId="13" fillId="5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dxfs count="8">
    <dxf>
      <font>
        <name val="Arial"/>
        <b val="1"/>
        <color rgb="00B42318"/>
        <sz val="20"/>
      </font>
    </dxf>
    <dxf>
      <fill>
        <patternFill patternType="solid">
          <fgColor rgb="00D1FADF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EDE9FE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2F4F7"/>
        </patternFill>
      </fill>
    </dxf>
    <dxf>
      <font>
        <name val="Arial"/>
        <b val="1"/>
        <color rgb="00B42318"/>
      </font>
      <fill>
        <patternFill patternType="solid">
          <fgColor rgb="00FEE4E2"/>
        </patternFill>
      </fill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LineShine</author>
  </authors>
  <commentList>
    <comment ref="J5" authorId="0" shapeId="0">
      <text>
        <t>Organiser deadline: Oct 9 2026, 11:59 PM Anywhere-on-Earth = Sat Oct 10 2026, 2:59 PM Cairo (EEST, UTC+3).</t>
      </text>
    </comment>
  </commentList>
</comments>
</file>

<file path=xl/comments/comment2.xml><?xml version="1.0" encoding="utf-8"?>
<comments xmlns="http://schemas.openxmlformats.org/spreadsheetml/2006/main">
  <authors>
    <author>LineShine</author>
  </authors>
  <commentList>
    <comment ref="A5" authorId="0" shapeId="0">
      <text>
        <t>Example row: replace or delete it.</t>
      </text>
    </comment>
  </commentList>
</comments>
</file>

<file path=xl/comments/comment3.xml><?xml version="1.0" encoding="utf-8"?>
<comments xmlns="http://schemas.openxmlformats.org/spreadsheetml/2006/main">
  <authors>
    <author>LineShine</author>
  </authors>
  <commentList>
    <comment ref="E9" authorId="0" shapeId="0">
      <text>
        <t>Rough study time from docs/learning-resources.md ('ref' items have no estimate).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kaggle.com/learn/pandas" TargetMode="External" Id="rId1" /><Relationship Type="http://schemas.openxmlformats.org/officeDocument/2006/relationships/hyperlink" Target="https://pandas.pydata.org/docs/user_guide/index.html" TargetMode="External" Id="rId2" /><Relationship Type="http://schemas.openxmlformats.org/officeDocument/2006/relationships/hyperlink" Target="https://jakevdp.github.io/PythonDataScienceHandbook/" TargetMode="External" Id="rId3" /><Relationship Type="http://schemas.openxmlformats.org/officeDocument/2006/relationships/hyperlink" Target="https://www.kaggle.com/learn/data-cleaning" TargetMode="External" Id="rId4" /><Relationship Type="http://schemas.openxmlformats.org/officeDocument/2006/relationships/hyperlink" Target="https://pandas.pydata.org/docs/user_guide/missing_data.html" TargetMode="External" Id="rId5" /><Relationship Type="http://schemas.openxmlformats.org/officeDocument/2006/relationships/hyperlink" Target="https://archive.ics.uci.edu/dataset/501/beijing+multi+site+air+quality+data" TargetMode="External" Id="rId6" /><Relationship Type="http://schemas.openxmlformats.org/officeDocument/2006/relationships/hyperlink" Target="https://scikit-learn.org/stable/modules/impute.html" TargetMode="External" Id="rId7" /><Relationship Type="http://schemas.openxmlformats.org/officeDocument/2006/relationships/hyperlink" Target="https://pandas.pydata.org/docs/reference/api/pandas.Series.interpolate.html" TargetMode="External" Id="rId8" /><Relationship Type="http://schemas.openxmlformats.org/officeDocument/2006/relationships/hyperlink" Target="https://stefvanbuuren.name/fimd/" TargetMode="External" Id="rId9" /><Relationship Type="http://schemas.openxmlformats.org/officeDocument/2006/relationships/hyperlink" Target="https://scikit-learn.org/stable/modules/preprocessing.html" TargetMode="External" Id="rId10" /><Relationship Type="http://schemas.openxmlformats.org/officeDocument/2006/relationships/hyperlink" Target="https://scikit-learn.org/stable/modules/outlier_detection.html" TargetMode="External" Id="rId11" /><Relationship Type="http://schemas.openxmlformats.org/officeDocument/2006/relationships/hyperlink" Target="https://www.itl.nist.gov/div898/handbook/eda/section3/eda35h.htm" TargetMode="External" Id="rId12" /><Relationship Type="http://schemas.openxmlformats.org/officeDocument/2006/relationships/hyperlink" Target="https://scikit-learn.org/stable/modules/compose.html" TargetMode="External" Id="rId13" /><Relationship Type="http://schemas.openxmlformats.org/officeDocument/2006/relationships/hyperlink" Target="https://scikit-learn.org/stable/common_pitfalls.html" TargetMode="External" Id="rId14" /><Relationship Type="http://schemas.openxmlformats.org/officeDocument/2006/relationships/hyperlink" Target="https://scikit-learn.org/stable/modules/cross_validation.html#time-series-split" TargetMode="External" Id="rId15" /><Relationship Type="http://schemas.openxmlformats.org/officeDocument/2006/relationships/hyperlink" Target="https://scikit-learn.org/stable/modules/ensemble.html#histogram-based-gradient-boosting" TargetMode="External" Id="rId16" /><Relationship Type="http://schemas.openxmlformats.org/officeDocument/2006/relationships/hyperlink" Target="https://www.kaggle.com/learn/intermediate-machine-learning" TargetMode="External" Id="rId17" /><Relationship Type="http://schemas.openxmlformats.org/officeDocument/2006/relationships/hyperlink" Target="https://scikit-learn.org/stable/modules/model_evaluation.html#regression-metrics" TargetMode="External" Id="rId18" /><Relationship Type="http://schemas.openxmlformats.org/officeDocument/2006/relationships/hyperlink" Target="https://otexts.com/fpp3/" TargetMode="External" Id="rId19" /><Relationship Type="http://schemas.openxmlformats.org/officeDocument/2006/relationships/hyperlink" Target="https://joblib.readthedocs.io/en/stable/parallel.html" TargetMode="External" Id="rId20" /><Relationship Type="http://schemas.openxmlformats.org/officeDocument/2006/relationships/hyperlink" Target="https://tutorial.dask.org/" TargetMode="External" Id="rId21" /><Relationship Type="http://schemas.openxmlformats.org/officeDocument/2006/relationships/hyperlink" Target="https://en.wikipedia.org/wiki/Amdahl%27s_law" TargetMode="External" Id="rId22" /><Relationship Type="http://schemas.openxmlformats.org/officeDocument/2006/relationships/hyperlink" Target="https://git-scm.com/book/en/v2" TargetMode="External" Id="rId23" /><Relationship Type="http://schemas.openxmlformats.org/officeDocument/2006/relationships/hyperlink" Target="https://docs.github.com/en/issues/planning-and-tracking-with-projects/learning-about-projects/about-projects" TargetMode="External" Id="rId24" /><Relationship Type="http://schemas.openxmlformats.org/officeDocument/2006/relationships/hyperlink" Target="https://nbdime.readthedocs.io/" TargetMode="External" Id="rId25" /><Relationship Type="http://schemas.openxmlformats.org/officeDocument/2006/relationships/hyperlink" Target="https://www.atlassian.com/agile/scrum" TargetMode="External" Id="rId26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D49A2A"/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" customWidth="1" min="3" max="3"/>
    <col width="24" customWidth="1" min="4" max="4"/>
    <col width="14" customWidth="1" min="5" max="5"/>
    <col width="3" customWidth="1" min="6" max="6"/>
    <col width="2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LineShine · AKT26 Hackathon Dashboard</t>
        </is>
      </c>
    </row>
    <row r="2">
      <c r="A2" s="2" t="inlineStr">
        <is>
          <t>Team ID 1065 · Everything here is calculated from the other sheets: don't type on this page.</t>
        </is>
      </c>
    </row>
    <row r="3">
      <c r="A3" s="3" t="inlineStr">
        <is>
          <t>Today (Cairo):</t>
        </is>
      </c>
      <c r="B3" s="4">
        <f>NOW()</f>
        <v/>
      </c>
      <c r="D3" s="3" t="inlineStr">
        <is>
          <t>Next deadline:</t>
        </is>
      </c>
      <c r="E3" s="5">
        <f>IFERROR(SMALL(Tasks!J5:J204,COUNTIF(Tasks!J5:J204,"&lt;"&amp;NOW())+1),"—")</f>
        <v/>
      </c>
    </row>
    <row r="5">
      <c r="A5" s="6" t="inlineStr">
        <is>
          <t>Key numbers</t>
        </is>
      </c>
    </row>
    <row r="6">
      <c r="A6" s="7" t="inlineStr">
        <is>
          <t>Total tasks</t>
        </is>
      </c>
      <c r="B6" s="8" t="n"/>
      <c r="D6" s="7" t="inlineStr">
        <is>
          <t>Done</t>
        </is>
      </c>
      <c r="E6" s="8" t="n"/>
      <c r="G6" s="7" t="inlineStr">
        <is>
          <t>% complete</t>
        </is>
      </c>
      <c r="H6" s="8" t="n"/>
    </row>
    <row r="7" ht="30" customHeight="1">
      <c r="A7" s="9">
        <f>COUNTA(Tasks!$B$5:$B$204)</f>
        <v/>
      </c>
      <c r="B7" s="8" t="n"/>
      <c r="D7" s="9">
        <f>COUNTIF(Tasks!$F$5:$F$204,"Done")</f>
        <v/>
      </c>
      <c r="E7" s="8" t="n"/>
      <c r="G7" s="10">
        <f>IFERROR(COUNTIF(Tasks!$F$5:$F$204,"Done")/COUNTA(Tasks!$B$5:$B$204),0)</f>
        <v/>
      </c>
      <c r="H7" s="8" t="n"/>
    </row>
    <row r="9">
      <c r="A9" s="7" t="inlineStr">
        <is>
          <t>In progress / review</t>
        </is>
      </c>
      <c r="B9" s="8" t="n"/>
      <c r="D9" s="7" t="inlineStr">
        <is>
          <t>Blocked</t>
        </is>
      </c>
      <c r="E9" s="8" t="n"/>
      <c r="G9" s="7" t="inlineStr">
        <is>
          <t>Overdue</t>
        </is>
      </c>
      <c r="H9" s="8" t="n"/>
    </row>
    <row r="10" ht="30" customHeight="1">
      <c r="A10" s="9">
        <f>COUNTIF(Tasks!$F$5:$F$204,"In progress")+COUNTIF(Tasks!$F$5:$F$204,"In review")</f>
        <v/>
      </c>
      <c r="B10" s="8" t="n"/>
      <c r="D10" s="9">
        <f>COUNTIF(Tasks!$F$5:$F$204,"Blocked")</f>
        <v/>
      </c>
      <c r="E10" s="8" t="n"/>
      <c r="G10" s="9">
        <f>COUNTIF(Tasks!$M$5:$M$204,"Yes")</f>
        <v/>
      </c>
      <c r="H10" s="8" t="n"/>
    </row>
    <row r="12">
      <c r="A12" s="7" t="inlineStr">
        <is>
          <t>Points secured</t>
        </is>
      </c>
      <c r="B12" s="8" t="n"/>
      <c r="D12" s="7" t="inlineStr">
        <is>
          <t>Unassigned open tasks</t>
        </is>
      </c>
      <c r="E12" s="8" t="n"/>
      <c r="G12" s="7" t="inlineStr">
        <is>
          <t>Team learning done</t>
        </is>
      </c>
      <c r="H12" s="8" t="n"/>
    </row>
    <row r="13" ht="30" customHeight="1">
      <c r="A13" s="11">
        <f>SUMIF(Tasks!$F$5:$F$204,"Done",Tasks!$H$5:$H$204)&amp;" / "&amp;SUM(Tasks!$H$5:$H$204)</f>
        <v/>
      </c>
      <c r="B13" s="8" t="n"/>
      <c r="D13" s="9">
        <f>SUMPRODUCT((Tasks!$B$5:$B$204&lt;&gt;"")*(Tasks!$F$5:$F$204&lt;&gt;"Done")*(Tasks!$E$5:$E$204=""))</f>
        <v/>
      </c>
      <c r="E13" s="8" t="n"/>
      <c r="G13" s="10">
        <f>IFERROR(AVERAGE(Learning!$J$6:$O$6),0)</f>
        <v/>
      </c>
      <c r="H13" s="8" t="n"/>
    </row>
    <row r="16">
      <c r="A16" s="6" t="inlineStr">
        <is>
          <t>Progress by assignment</t>
        </is>
      </c>
    </row>
    <row r="17">
      <c r="A17" s="12" t="inlineStr">
        <is>
          <t>Assignment</t>
        </is>
      </c>
      <c r="B17" s="12" t="inlineStr">
        <is>
          <t>Tasks</t>
        </is>
      </c>
      <c r="D17" s="12" t="inlineStr">
        <is>
          <t>Done</t>
        </is>
      </c>
      <c r="E17" s="12" t="inlineStr">
        <is>
          <t>% done</t>
        </is>
      </c>
      <c r="G17" s="12" t="inlineStr">
        <is>
          <t>Points done</t>
        </is>
      </c>
      <c r="H17" s="12" t="inlineStr">
        <is>
          <t>Points total</t>
        </is>
      </c>
      <c r="I17" s="12" t="inlineStr">
        <is>
          <t>Overdue</t>
        </is>
      </c>
    </row>
    <row r="18">
      <c r="A18" s="13">
        <f>Lists!D5</f>
        <v/>
      </c>
      <c r="B18" s="13">
        <f>IF(A18="","",COUNTIF(Tasks!$C$5:$C$204,A18))</f>
        <v/>
      </c>
      <c r="D18" s="13">
        <f>IF(A18="","",COUNTIFS(Tasks!$C$5:$C$204,A18,Tasks!$F$5:$F$204,"Done"))</f>
        <v/>
      </c>
      <c r="E18" s="14">
        <f>IF(OR(A18="",B18=0),"",D18/B18)</f>
        <v/>
      </c>
      <c r="G18" s="13">
        <f>IF(A18="","",SUMIFS(Tasks!$H$5:$H$204,Tasks!$C$5:$C$204,A18,Tasks!$F$5:$F$204,"Done"))</f>
        <v/>
      </c>
      <c r="H18" s="13">
        <f>IF(A18="","",SUMIFS(Tasks!$H$5:$H$204,Tasks!$C$5:$C$204,A18))</f>
        <v/>
      </c>
      <c r="I18" s="13">
        <f>IF(A18="","",COUNTIFS(Tasks!$C$5:$C$204,A18,Tasks!$M$5:$M$204,"Yes"))</f>
        <v/>
      </c>
    </row>
    <row r="19">
      <c r="A19" s="13">
        <f>Lists!D6</f>
        <v/>
      </c>
      <c r="B19" s="13">
        <f>IF(A19="","",COUNTIF(Tasks!$C$5:$C$204,A19))</f>
        <v/>
      </c>
      <c r="D19" s="13">
        <f>IF(A19="","",COUNTIFS(Tasks!$C$5:$C$204,A19,Tasks!$F$5:$F$204,"Done"))</f>
        <v/>
      </c>
      <c r="E19" s="14">
        <f>IF(OR(A19="",B19=0),"",D19/B19)</f>
        <v/>
      </c>
      <c r="G19" s="13">
        <f>IF(A19="","",SUMIFS(Tasks!$H$5:$H$204,Tasks!$C$5:$C$204,A19,Tasks!$F$5:$F$204,"Done"))</f>
        <v/>
      </c>
      <c r="H19" s="13">
        <f>IF(A19="","",SUMIFS(Tasks!$H$5:$H$204,Tasks!$C$5:$C$204,A19))</f>
        <v/>
      </c>
      <c r="I19" s="13">
        <f>IF(A19="","",COUNTIFS(Tasks!$C$5:$C$204,A19,Tasks!$M$5:$M$204,"Yes"))</f>
        <v/>
      </c>
    </row>
    <row r="20">
      <c r="A20" s="13">
        <f>Lists!D7</f>
        <v/>
      </c>
      <c r="B20" s="13">
        <f>IF(A20="","",COUNTIF(Tasks!$C$5:$C$204,A20))</f>
        <v/>
      </c>
      <c r="D20" s="13">
        <f>IF(A20="","",COUNTIFS(Tasks!$C$5:$C$204,A20,Tasks!$F$5:$F$204,"Done"))</f>
        <v/>
      </c>
      <c r="E20" s="14">
        <f>IF(OR(A20="",B20=0),"",D20/B20)</f>
        <v/>
      </c>
      <c r="G20" s="13">
        <f>IF(A20="","",SUMIFS(Tasks!$H$5:$H$204,Tasks!$C$5:$C$204,A20,Tasks!$F$5:$F$204,"Done"))</f>
        <v/>
      </c>
      <c r="H20" s="13">
        <f>IF(A20="","",SUMIFS(Tasks!$H$5:$H$204,Tasks!$C$5:$C$204,A20))</f>
        <v/>
      </c>
      <c r="I20" s="13">
        <f>IF(A20="","",COUNTIFS(Tasks!$C$5:$C$204,A20,Tasks!$M$5:$M$204,"Yes"))</f>
        <v/>
      </c>
    </row>
    <row r="21">
      <c r="A21" s="13">
        <f>Lists!D8</f>
        <v/>
      </c>
      <c r="B21" s="13">
        <f>IF(A21="","",COUNTIF(Tasks!$C$5:$C$204,A21))</f>
        <v/>
      </c>
      <c r="D21" s="13">
        <f>IF(A21="","",COUNTIFS(Tasks!$C$5:$C$204,A21,Tasks!$F$5:$F$204,"Done"))</f>
        <v/>
      </c>
      <c r="E21" s="14">
        <f>IF(OR(A21="",B21=0),"",D21/B21)</f>
        <v/>
      </c>
      <c r="G21" s="13">
        <f>IF(A21="","",SUMIFS(Tasks!$H$5:$H$204,Tasks!$C$5:$C$204,A21,Tasks!$F$5:$F$204,"Done"))</f>
        <v/>
      </c>
      <c r="H21" s="13">
        <f>IF(A21="","",SUMIFS(Tasks!$H$5:$H$204,Tasks!$C$5:$C$204,A21))</f>
        <v/>
      </c>
      <c r="I21" s="13">
        <f>IF(A21="","",COUNTIFS(Tasks!$C$5:$C$204,A21,Tasks!$M$5:$M$204,"Yes"))</f>
        <v/>
      </c>
    </row>
    <row r="22">
      <c r="A22" s="13">
        <f>Lists!D9</f>
        <v/>
      </c>
      <c r="B22" s="13">
        <f>IF(A22="","",COUNTIF(Tasks!$C$5:$C$204,A22))</f>
        <v/>
      </c>
      <c r="D22" s="13">
        <f>IF(A22="","",COUNTIFS(Tasks!$C$5:$C$204,A22,Tasks!$F$5:$F$204,"Done"))</f>
        <v/>
      </c>
      <c r="E22" s="14">
        <f>IF(OR(A22="",B22=0),"",D22/B22)</f>
        <v/>
      </c>
      <c r="G22" s="13">
        <f>IF(A22="","",SUMIFS(Tasks!$H$5:$H$204,Tasks!$C$5:$C$204,A22,Tasks!$F$5:$F$204,"Done"))</f>
        <v/>
      </c>
      <c r="H22" s="13">
        <f>IF(A22="","",SUMIFS(Tasks!$H$5:$H$204,Tasks!$C$5:$C$204,A22))</f>
        <v/>
      </c>
      <c r="I22" s="13">
        <f>IF(A22="","",COUNTIFS(Tasks!$C$5:$C$204,A22,Tasks!$M$5:$M$204,"Yes"))</f>
        <v/>
      </c>
    </row>
    <row r="23">
      <c r="A23" s="13">
        <f>Lists!D10</f>
        <v/>
      </c>
      <c r="B23" s="13">
        <f>IF(A23="","",COUNTIF(Tasks!$C$5:$C$204,A23))</f>
        <v/>
      </c>
      <c r="D23" s="13">
        <f>IF(A23="","",COUNTIFS(Tasks!$C$5:$C$204,A23,Tasks!$F$5:$F$204,"Done"))</f>
        <v/>
      </c>
      <c r="E23" s="14">
        <f>IF(OR(A23="",B23=0),"",D23/B23)</f>
        <v/>
      </c>
      <c r="G23" s="13">
        <f>IF(A23="","",SUMIFS(Tasks!$H$5:$H$204,Tasks!$C$5:$C$204,A23,Tasks!$F$5:$F$204,"Done"))</f>
        <v/>
      </c>
      <c r="H23" s="13">
        <f>IF(A23="","",SUMIFS(Tasks!$H$5:$H$204,Tasks!$C$5:$C$204,A23))</f>
        <v/>
      </c>
      <c r="I23" s="13">
        <f>IF(A23="","",COUNTIFS(Tasks!$C$5:$C$204,A23,Tasks!$M$5:$M$204,"Yes"))</f>
        <v/>
      </c>
    </row>
    <row r="26">
      <c r="A26" s="6" t="inlineStr">
        <is>
          <t>Team overview</t>
        </is>
      </c>
    </row>
    <row r="27">
      <c r="A27" s="12" t="inlineStr">
        <is>
          <t>Member</t>
        </is>
      </c>
      <c r="B27" s="12" t="inlineStr">
        <is>
          <t>Open tasks</t>
        </is>
      </c>
      <c r="D27" s="12" t="inlineStr">
        <is>
          <t>Done tasks</t>
        </is>
      </c>
      <c r="E27" s="12" t="inlineStr">
        <is>
          <t>Check-ins</t>
        </is>
      </c>
      <c r="G27" s="12" t="inlineStr">
        <is>
          <t>Last check-in</t>
        </is>
      </c>
      <c r="H27" s="12" t="inlineStr">
        <is>
          <t>Learning done</t>
        </is>
      </c>
      <c r="I27" s="12" t="inlineStr">
        <is>
          <t>Study hours</t>
        </is>
      </c>
    </row>
    <row r="28">
      <c r="A28" s="13">
        <f>Team!A5</f>
        <v/>
      </c>
      <c r="B28" s="13">
        <f>Team!E5</f>
        <v/>
      </c>
      <c r="D28" s="13">
        <f>Team!F5</f>
        <v/>
      </c>
      <c r="E28" s="13">
        <f>Team!G5</f>
        <v/>
      </c>
      <c r="G28" s="15">
        <f>IF(COUNTIF('Daily Check-ins'!$B$5:$B$404,A28)=0,"—",SUMPRODUCT(MAX(('Daily Check-ins'!$B$5:$B$404=A28)*'Daily Check-ins'!$A$5:$A$404)))</f>
        <v/>
      </c>
      <c r="H28" s="14">
        <f>Team!H5</f>
        <v/>
      </c>
      <c r="I28" s="16">
        <f>INDEX(Learning!$J$7:$O$7,MATCH(A28,Learning!$J$4:$O$4,0))</f>
        <v/>
      </c>
    </row>
    <row r="29">
      <c r="A29" s="13">
        <f>Team!A6</f>
        <v/>
      </c>
      <c r="B29" s="13">
        <f>Team!E6</f>
        <v/>
      </c>
      <c r="D29" s="13">
        <f>Team!F6</f>
        <v/>
      </c>
      <c r="E29" s="13">
        <f>Team!G6</f>
        <v/>
      </c>
      <c r="G29" s="15">
        <f>IF(COUNTIF('Daily Check-ins'!$B$5:$B$404,A29)=0,"—",SUMPRODUCT(MAX(('Daily Check-ins'!$B$5:$B$404=A29)*'Daily Check-ins'!$A$5:$A$404)))</f>
        <v/>
      </c>
      <c r="H29" s="14">
        <f>Team!H6</f>
        <v/>
      </c>
      <c r="I29" s="16">
        <f>INDEX(Learning!$J$7:$O$7,MATCH(A29,Learning!$J$4:$O$4,0))</f>
        <v/>
      </c>
    </row>
    <row r="30">
      <c r="A30" s="13">
        <f>Team!A7</f>
        <v/>
      </c>
      <c r="B30" s="13">
        <f>Team!E7</f>
        <v/>
      </c>
      <c r="D30" s="13">
        <f>Team!F7</f>
        <v/>
      </c>
      <c r="E30" s="13">
        <f>Team!G7</f>
        <v/>
      </c>
      <c r="G30" s="15">
        <f>IF(COUNTIF('Daily Check-ins'!$B$5:$B$404,A30)=0,"—",SUMPRODUCT(MAX(('Daily Check-ins'!$B$5:$B$404=A30)*'Daily Check-ins'!$A$5:$A$404)))</f>
        <v/>
      </c>
      <c r="H30" s="14">
        <f>Team!H7</f>
        <v/>
      </c>
      <c r="I30" s="16">
        <f>INDEX(Learning!$J$7:$O$7,MATCH(A30,Learning!$J$4:$O$4,0))</f>
        <v/>
      </c>
    </row>
    <row r="31">
      <c r="A31" s="13">
        <f>Team!A8</f>
        <v/>
      </c>
      <c r="B31" s="13">
        <f>Team!E8</f>
        <v/>
      </c>
      <c r="D31" s="13">
        <f>Team!F8</f>
        <v/>
      </c>
      <c r="E31" s="13">
        <f>Team!G8</f>
        <v/>
      </c>
      <c r="G31" s="15">
        <f>IF(COUNTIF('Daily Check-ins'!$B$5:$B$404,A31)=0,"—",SUMPRODUCT(MAX(('Daily Check-ins'!$B$5:$B$404=A31)*'Daily Check-ins'!$A$5:$A$404)))</f>
        <v/>
      </c>
      <c r="H31" s="14">
        <f>Team!H8</f>
        <v/>
      </c>
      <c r="I31" s="16">
        <f>INDEX(Learning!$J$7:$O$7,MATCH(A31,Learning!$J$4:$O$4,0))</f>
        <v/>
      </c>
    </row>
    <row r="32">
      <c r="A32" s="13">
        <f>Team!A9</f>
        <v/>
      </c>
      <c r="B32" s="13">
        <f>Team!E9</f>
        <v/>
      </c>
      <c r="D32" s="13">
        <f>Team!F9</f>
        <v/>
      </c>
      <c r="E32" s="13">
        <f>Team!G9</f>
        <v/>
      </c>
      <c r="G32" s="15">
        <f>IF(COUNTIF('Daily Check-ins'!$B$5:$B$404,A32)=0,"—",SUMPRODUCT(MAX(('Daily Check-ins'!$B$5:$B$404=A32)*'Daily Check-ins'!$A$5:$A$404)))</f>
        <v/>
      </c>
      <c r="H32" s="14">
        <f>Team!H9</f>
        <v/>
      </c>
      <c r="I32" s="16">
        <f>INDEX(Learning!$J$7:$O$7,MATCH(A32,Learning!$J$4:$O$4,0))</f>
        <v/>
      </c>
    </row>
    <row r="33">
      <c r="A33" s="13">
        <f>Team!A10</f>
        <v/>
      </c>
      <c r="B33" s="13">
        <f>Team!E10</f>
        <v/>
      </c>
      <c r="D33" s="13">
        <f>Team!F10</f>
        <v/>
      </c>
      <c r="E33" s="13">
        <f>Team!G10</f>
        <v/>
      </c>
      <c r="G33" s="15">
        <f>IF(COUNTIF('Daily Check-ins'!$B$5:$B$404,A33)=0,"—",SUMPRODUCT(MAX(('Daily Check-ins'!$B$5:$B$404=A33)*'Daily Check-ins'!$A$5:$A$404)))</f>
        <v/>
      </c>
      <c r="H33" s="14">
        <f>Team!H10</f>
        <v/>
      </c>
      <c r="I33" s="16">
        <f>INDEX(Learning!$J$7:$O$7,MATCH(A33,Learning!$J$4:$O$4,0))</f>
        <v/>
      </c>
    </row>
    <row r="36">
      <c r="A36" s="6" t="inlineStr">
        <is>
          <t>How to use this workbook</t>
        </is>
      </c>
    </row>
    <row r="37">
      <c r="A37" s="17" t="inlineStr">
        <is>
          <t>1. Tasks: add one row per task. Pick the assignment, assignee, status and priority from the drop-downs. Days left and Overdue fill in by themselves.</t>
        </is>
      </c>
    </row>
    <row r="38">
      <c r="A38" s="17" t="inlineStr">
        <is>
          <t>2. Daily Check-ins: each person adds one short row per day (what I did, what's next, what blocks me).</t>
        </is>
      </c>
    </row>
    <row r="39">
      <c r="A39" s="17" t="inlineStr">
        <is>
          <t>3. Learning: each person sets their own column to Not started / In progress / Done for every topic.</t>
        </is>
      </c>
    </row>
    <row r="40">
      <c r="A40" s="17" t="inlineStr">
        <is>
          <t>4. Team: add GitHub usernames and contacts. Lists: add new statuses or assignments (e.g. Week 2).</t>
        </is>
      </c>
    </row>
    <row r="41">
      <c r="A41" s="17" t="inlineStr">
        <is>
          <t>Colour key: blue text = cells you type in · grey cells = calculated, don't edit · red = overdue or blocked.</t>
        </is>
      </c>
    </row>
    <row r="42">
      <c r="A42" s="17" t="inlineStr">
        <is>
          <t>All dates and times are Cairo time, shown in 12-hour AM/PM format.</t>
        </is>
      </c>
    </row>
  </sheetData>
  <mergeCells count="6">
    <mergeCell ref="A37:J37"/>
    <mergeCell ref="A40:J40"/>
    <mergeCell ref="A39:J39"/>
    <mergeCell ref="A38:J38"/>
    <mergeCell ref="A42:J42"/>
    <mergeCell ref="A41:J41"/>
  </mergeCells>
  <conditionalFormatting sqref="A13">
    <cfRule type="cellIs" priority="1" operator="greaterThan" dxfId="0">
      <formula>0</formula>
    </cfRule>
  </conditionalFormatting>
  <conditionalFormatting sqref="D13">
    <cfRule type="cellIs" priority="2" operator="greaterThan" dxfId="0">
      <formula>0</formula>
    </cfRule>
  </conditionalFormatting>
  <conditionalFormatting sqref="E18:E23">
    <cfRule type="dataBar" priority="3">
      <dataBar>
        <cfvo type="num" val="0"/>
        <cfvo type="num" val="1"/>
        <color rgb="0012B76A"/>
      </dataBar>
    </cfRule>
  </conditionalFormatting>
  <conditionalFormatting sqref="H28:H33">
    <cfRule type="dataBar" priority="4">
      <dataBar>
        <cfvo type="num" val="0"/>
        <cfvo type="num" val="1"/>
        <color rgb="002E90FA"/>
      </dataBar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A2A5C"/>
    <outlinePr summaryBelow="1" summaryRight="1"/>
    <pageSetUpPr/>
  </sheetPr>
  <dimension ref="A1:N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1" customWidth="1" min="3" max="3"/>
    <col width="14" customWidth="1" min="4" max="4"/>
    <col width="20" customWidth="1" min="5" max="5"/>
    <col width="13" customWidth="1" min="6" max="6"/>
    <col width="10" customWidth="1" min="7" max="7"/>
    <col width="8" customWidth="1" min="8" max="8"/>
    <col width="18" customWidth="1" min="9" max="9"/>
    <col width="26" customWidth="1" min="10" max="10"/>
    <col width="18" customWidth="1" min="11" max="11"/>
    <col width="10" customWidth="1" min="12" max="12"/>
    <col width="10" customWidth="1" min="13" max="13"/>
    <col width="40" customWidth="1" min="14" max="14"/>
  </cols>
  <sheetData>
    <row r="1" ht="28" customHeight="1">
      <c r="A1" s="1" t="inlineStr">
        <is>
          <t>Task Tracker</t>
        </is>
      </c>
    </row>
    <row r="2">
      <c r="A2" s="2" t="inlineStr">
        <is>
          <t>One row per task. Fill the blue cells; grey columns are calculated. All times are Cairo time (12-hour AM/PM).</t>
        </is>
      </c>
    </row>
    <row r="4" ht="30" customHeight="1">
      <c r="A4" s="12" t="inlineStr">
        <is>
          <t>ID</t>
        </is>
      </c>
      <c r="B4" s="12" t="inlineStr">
        <is>
          <t>Task</t>
        </is>
      </c>
      <c r="C4" s="12" t="inlineStr">
        <is>
          <t>Assignment</t>
        </is>
      </c>
      <c r="D4" s="12" t="inlineStr">
        <is>
          <t>Category</t>
        </is>
      </c>
      <c r="E4" s="12" t="inlineStr">
        <is>
          <t>Assignee</t>
        </is>
      </c>
      <c r="F4" s="12" t="inlineStr">
        <is>
          <t>Status</t>
        </is>
      </c>
      <c r="G4" s="12" t="inlineStr">
        <is>
          <t>Priority</t>
        </is>
      </c>
      <c r="H4" s="12" t="inlineStr">
        <is>
          <t>Points</t>
        </is>
      </c>
      <c r="I4" s="12" t="inlineStr">
        <is>
          <t>Start date</t>
        </is>
      </c>
      <c r="J4" s="12" t="inlineStr">
        <is>
          <t>Due (Cairo time)</t>
        </is>
      </c>
      <c r="K4" s="12" t="inlineStr">
        <is>
          <t>Completed on</t>
        </is>
      </c>
      <c r="L4" s="12" t="inlineStr">
        <is>
          <t>Days left</t>
        </is>
      </c>
      <c r="M4" s="12" t="inlineStr">
        <is>
          <t>Overdue?</t>
        </is>
      </c>
      <c r="N4" s="12" t="inlineStr">
        <is>
          <t>Notes / link</t>
        </is>
      </c>
    </row>
    <row r="5">
      <c r="A5" s="18">
        <f>IF(B5="","","T-"&amp;TEXT(ROW()-4,"000"))</f>
        <v/>
      </c>
      <c r="B5" s="19" t="inlineStr">
        <is>
          <t>Rename notebook, set TEAM_ID = 1065 and TEAM_NAME</t>
        </is>
      </c>
      <c r="C5" s="20" t="inlineStr">
        <is>
          <t>Setup</t>
        </is>
      </c>
      <c r="D5" s="19" t="inlineStr">
        <is>
          <t>Setup</t>
        </is>
      </c>
      <c r="E5" s="19" t="n"/>
      <c r="F5" s="20" t="inlineStr">
        <is>
          <t>Done</t>
        </is>
      </c>
      <c r="G5" s="20" t="inlineStr">
        <is>
          <t>High</t>
        </is>
      </c>
      <c r="H5" s="20" t="n"/>
      <c r="I5" s="21" t="n">
        <v>46298</v>
      </c>
      <c r="J5" s="22" t="n">
        <v>46305.62430555555</v>
      </c>
      <c r="K5" s="21" t="n">
        <v>46304</v>
      </c>
      <c r="L5" s="18">
        <f>IF(OR(J5="",F5="Done"),"",ROUNDDOWN(J5-NOW(),0))</f>
        <v/>
      </c>
      <c r="M5" s="18">
        <f>IF(OR(J5="",F5="Done"),"",IF(J5&lt;NOW(),"Yes","No"))</f>
        <v/>
      </c>
      <c r="N5" s="19" t="n"/>
    </row>
    <row r="6">
      <c r="A6" s="18">
        <f>IF(B6="","","T-"&amp;TEXT(ROW()-4,"000"))</f>
        <v/>
      </c>
      <c r="B6" s="19" t="inlineStr">
        <is>
          <t>Task 1 – Data-quality audit and issue log</t>
        </is>
      </c>
      <c r="C6" s="20" t="inlineStr">
        <is>
          <t>Week 1</t>
        </is>
      </c>
      <c r="D6" s="19" t="inlineStr">
        <is>
          <t>Notebook</t>
        </is>
      </c>
      <c r="E6" s="19" t="n"/>
      <c r="F6" s="20" t="inlineStr">
        <is>
          <t>Done</t>
        </is>
      </c>
      <c r="G6" s="20" t="inlineStr">
        <is>
          <t>High</t>
        </is>
      </c>
      <c r="H6" s="20" t="n">
        <v>15</v>
      </c>
      <c r="I6" s="21" t="n">
        <v>46298</v>
      </c>
      <c r="J6" s="22" t="n">
        <v>46305.62430555555</v>
      </c>
      <c r="K6" s="21" t="n">
        <v>46304</v>
      </c>
      <c r="L6" s="18">
        <f>IF(OR(J6="",F6="Done"),"",ROUNDDOWN(J6-NOW(),0))</f>
        <v/>
      </c>
      <c r="M6" s="18">
        <f>IF(OR(J6="",F6="Done"),"",IF(J6&lt;NOW(),"Yes","No"))</f>
        <v/>
      </c>
      <c r="N6" s="19" t="n"/>
    </row>
    <row r="7">
      <c r="A7" s="18">
        <f>IF(B7="","","T-"&amp;TEXT(ROW()-4,"000"))</f>
        <v/>
      </c>
      <c r="B7" s="19" t="inlineStr">
        <is>
          <t>Task 2 – Consistency, validity and timeliness fixes</t>
        </is>
      </c>
      <c r="C7" s="20" t="inlineStr">
        <is>
          <t>Week 1</t>
        </is>
      </c>
      <c r="D7" s="19" t="inlineStr">
        <is>
          <t>Notebook</t>
        </is>
      </c>
      <c r="E7" s="19" t="n"/>
      <c r="F7" s="20" t="inlineStr">
        <is>
          <t>Done</t>
        </is>
      </c>
      <c r="G7" s="20" t="inlineStr">
        <is>
          <t>High</t>
        </is>
      </c>
      <c r="H7" s="20" t="n">
        <v>15</v>
      </c>
      <c r="I7" s="21" t="n">
        <v>46298</v>
      </c>
      <c r="J7" s="22" t="n">
        <v>46305.62430555555</v>
      </c>
      <c r="K7" s="21" t="n">
        <v>46304</v>
      </c>
      <c r="L7" s="18">
        <f>IF(OR(J7="",F7="Done"),"",ROUNDDOWN(J7-NOW(),0))</f>
        <v/>
      </c>
      <c r="M7" s="18">
        <f>IF(OR(J7="",F7="Done"),"",IF(J7&lt;NOW(),"Yes","No"))</f>
        <v/>
      </c>
      <c r="N7" s="19" t="n"/>
    </row>
    <row r="8">
      <c r="A8" s="18">
        <f>IF(B8="","","T-"&amp;TEXT(ROW()-4,"000"))</f>
        <v/>
      </c>
      <c r="B8" s="19" t="inlineStr">
        <is>
          <t>Task 3 – Imputation study</t>
        </is>
      </c>
      <c r="C8" s="20" t="inlineStr">
        <is>
          <t>Week 1</t>
        </is>
      </c>
      <c r="D8" s="19" t="inlineStr">
        <is>
          <t>Notebook</t>
        </is>
      </c>
      <c r="E8" s="19" t="n"/>
      <c r="F8" s="20" t="inlineStr">
        <is>
          <t>Done</t>
        </is>
      </c>
      <c r="G8" s="20" t="inlineStr">
        <is>
          <t>High</t>
        </is>
      </c>
      <c r="H8" s="20" t="n">
        <v>15</v>
      </c>
      <c r="I8" s="21" t="n">
        <v>46298</v>
      </c>
      <c r="J8" s="22" t="n">
        <v>46305.62430555555</v>
      </c>
      <c r="K8" s="21" t="n">
        <v>46304</v>
      </c>
      <c r="L8" s="18">
        <f>IF(OR(J8="",F8="Done"),"",ROUNDDOWN(J8-NOW(),0))</f>
        <v/>
      </c>
      <c r="M8" s="18">
        <f>IF(OR(J8="",F8="Done"),"",IF(J8&lt;NOW(),"Yes","No"))</f>
        <v/>
      </c>
      <c r="N8" s="19" t="n"/>
    </row>
    <row r="9">
      <c r="A9" s="18">
        <f>IF(B9="","","T-"&amp;TEXT(ROW()-4,"000"))</f>
        <v/>
      </c>
      <c r="B9" s="19" t="inlineStr">
        <is>
          <t>Task 4 – Outliers and transformations</t>
        </is>
      </c>
      <c r="C9" s="20" t="inlineStr">
        <is>
          <t>Week 1</t>
        </is>
      </c>
      <c r="D9" s="19" t="inlineStr">
        <is>
          <t>Notebook</t>
        </is>
      </c>
      <c r="E9" s="19" t="n"/>
      <c r="F9" s="20" t="inlineStr">
        <is>
          <t>Done</t>
        </is>
      </c>
      <c r="G9" s="20" t="inlineStr">
        <is>
          <t>Medium</t>
        </is>
      </c>
      <c r="H9" s="20" t="n">
        <v>10</v>
      </c>
      <c r="I9" s="21" t="n">
        <v>46298</v>
      </c>
      <c r="J9" s="22" t="n">
        <v>46305.62430555555</v>
      </c>
      <c r="K9" s="21" t="n">
        <v>46304</v>
      </c>
      <c r="L9" s="18">
        <f>IF(OR(J9="",F9="Done"),"",ROUNDDOWN(J9-NOW(),0))</f>
        <v/>
      </c>
      <c r="M9" s="18">
        <f>IF(OR(J9="",F9="Done"),"",IF(J9&lt;NOW(),"Yes","No"))</f>
        <v/>
      </c>
      <c r="N9" s="19" t="n"/>
    </row>
    <row r="10">
      <c r="A10" s="18">
        <f>IF(B10="","","T-"&amp;TEXT(ROW()-4,"000"))</f>
        <v/>
      </c>
      <c r="B10" s="19" t="inlineStr">
        <is>
          <t>Task 5 – Leak-free pipeline + TimeSeriesSplit CV</t>
        </is>
      </c>
      <c r="C10" s="20" t="inlineStr">
        <is>
          <t>Week 1</t>
        </is>
      </c>
      <c r="D10" s="19" t="inlineStr">
        <is>
          <t>Notebook</t>
        </is>
      </c>
      <c r="E10" s="19" t="n"/>
      <c r="F10" s="20" t="inlineStr">
        <is>
          <t>Done</t>
        </is>
      </c>
      <c r="G10" s="20" t="inlineStr">
        <is>
          <t>High</t>
        </is>
      </c>
      <c r="H10" s="20" t="n">
        <v>15</v>
      </c>
      <c r="I10" s="21" t="n">
        <v>46298</v>
      </c>
      <c r="J10" s="22" t="n">
        <v>46305.62430555555</v>
      </c>
      <c r="K10" s="21" t="n">
        <v>46304</v>
      </c>
      <c r="L10" s="18">
        <f>IF(OR(J10="",F10="Done"),"",ROUNDDOWN(J10-NOW(),0))</f>
        <v/>
      </c>
      <c r="M10" s="18">
        <f>IF(OR(J10="",F10="Done"),"",IF(J10&lt;NOW(),"Yes","No"))</f>
        <v/>
      </c>
      <c r="N10" s="19" t="n"/>
    </row>
    <row r="11">
      <c r="A11" s="18">
        <f>IF(B11="","","T-"&amp;TEXT(ROW()-4,"000"))</f>
        <v/>
      </c>
      <c r="B11" s="19" t="inlineStr">
        <is>
          <t>Task 6 – Impact study on the test year</t>
        </is>
      </c>
      <c r="C11" s="20" t="inlineStr">
        <is>
          <t>Week 1</t>
        </is>
      </c>
      <c r="D11" s="19" t="inlineStr">
        <is>
          <t>Notebook</t>
        </is>
      </c>
      <c r="E11" s="19" t="n"/>
      <c r="F11" s="20" t="inlineStr">
        <is>
          <t>Done</t>
        </is>
      </c>
      <c r="G11" s="20" t="inlineStr">
        <is>
          <t>High</t>
        </is>
      </c>
      <c r="H11" s="20" t="n">
        <v>20</v>
      </c>
      <c r="I11" s="21" t="n">
        <v>46298</v>
      </c>
      <c r="J11" s="22" t="n">
        <v>46305.62430555555</v>
      </c>
      <c r="K11" s="21" t="n">
        <v>46304</v>
      </c>
      <c r="L11" s="18">
        <f>IF(OR(J11="",F11="Done"),"",ROUNDDOWN(J11-NOW(),0))</f>
        <v/>
      </c>
      <c r="M11" s="18">
        <f>IF(OR(J11="",F11="Done"),"",IF(J11&lt;NOW(),"Yes","No"))</f>
        <v/>
      </c>
      <c r="N11" s="19" t="n"/>
    </row>
    <row r="12">
      <c r="A12" s="18">
        <f>IF(B12="","","T-"&amp;TEXT(ROW()-4,"000"))</f>
        <v/>
      </c>
      <c r="B12" s="19" t="inlineStr">
        <is>
          <t>Final summary cell</t>
        </is>
      </c>
      <c r="C12" s="20" t="inlineStr">
        <is>
          <t>Week 1</t>
        </is>
      </c>
      <c r="D12" s="19" t="inlineStr">
        <is>
          <t>Notebook</t>
        </is>
      </c>
      <c r="E12" s="19" t="n"/>
      <c r="F12" s="20" t="inlineStr">
        <is>
          <t>Done</t>
        </is>
      </c>
      <c r="G12" s="20" t="inlineStr">
        <is>
          <t>High</t>
        </is>
      </c>
      <c r="H12" s="20" t="n">
        <v>10</v>
      </c>
      <c r="I12" s="21" t="n">
        <v>46298</v>
      </c>
      <c r="J12" s="22" t="n">
        <v>46305.62430555555</v>
      </c>
      <c r="K12" s="21" t="n">
        <v>46304</v>
      </c>
      <c r="L12" s="18">
        <f>IF(OR(J12="",F12="Done"),"",ROUNDDOWN(J12-NOW(),0))</f>
        <v/>
      </c>
      <c r="M12" s="18">
        <f>IF(OR(J12="",F12="Done"),"",IF(J12&lt;NOW(),"Yes","No"))</f>
        <v/>
      </c>
      <c r="N12" s="19" t="n"/>
    </row>
    <row r="13">
      <c r="A13" s="18">
        <f>IF(B13="","","T-"&amp;TEXT(ROW()-4,"000"))</f>
        <v/>
      </c>
      <c r="B13" s="19" t="inlineStr">
        <is>
          <t>Bonus – parallel per-station cleaning (HPC)</t>
        </is>
      </c>
      <c r="C13" s="20" t="inlineStr">
        <is>
          <t>Week 1</t>
        </is>
      </c>
      <c r="D13" s="19" t="inlineStr">
        <is>
          <t>Bonus</t>
        </is>
      </c>
      <c r="E13" s="19" t="n"/>
      <c r="F13" s="20" t="inlineStr">
        <is>
          <t>Done</t>
        </is>
      </c>
      <c r="G13" s="20" t="inlineStr">
        <is>
          <t>Medium</t>
        </is>
      </c>
      <c r="H13" s="20" t="n">
        <v>10</v>
      </c>
      <c r="I13" s="21" t="n">
        <v>46298</v>
      </c>
      <c r="J13" s="22" t="n">
        <v>46305.62430555555</v>
      </c>
      <c r="K13" s="21" t="n">
        <v>46304</v>
      </c>
      <c r="L13" s="18">
        <f>IF(OR(J13="",F13="Done"),"",ROUNDDOWN(J13-NOW(),0))</f>
        <v/>
      </c>
      <c r="M13" s="18">
        <f>IF(OR(J13="",F13="Done"),"",IF(J13&lt;NOW(),"Yes","No"))</f>
        <v/>
      </c>
      <c r="N13" s="19" t="n"/>
    </row>
    <row r="14">
      <c r="A14" s="18">
        <f>IF(B14="","","T-"&amp;TEXT(ROW()-4,"000"))</f>
        <v/>
      </c>
      <c r="B14" s="19" t="inlineStr">
        <is>
          <t>Team review of the notebook + Restart &amp; Run All</t>
        </is>
      </c>
      <c r="C14" s="20" t="inlineStr">
        <is>
          <t>Week 1</t>
        </is>
      </c>
      <c r="D14" s="19" t="inlineStr">
        <is>
          <t>Review</t>
        </is>
      </c>
      <c r="E14" s="19" t="n"/>
      <c r="F14" s="20" t="inlineStr">
        <is>
          <t>Not started</t>
        </is>
      </c>
      <c r="G14" s="20" t="inlineStr">
        <is>
          <t>High</t>
        </is>
      </c>
      <c r="H14" s="20" t="n"/>
      <c r="I14" s="21" t="n">
        <v>46298</v>
      </c>
      <c r="J14" s="22" t="n">
        <v>46305.62430555555</v>
      </c>
      <c r="K14" s="21" t="n"/>
      <c r="L14" s="18">
        <f>IF(OR(J14="",F14="Done"),"",ROUNDDOWN(J14-NOW(),0))</f>
        <v/>
      </c>
      <c r="M14" s="18">
        <f>IF(OR(J14="",F14="Done"),"",IF(J14&lt;NOW(),"Yes","No"))</f>
        <v/>
      </c>
      <c r="N14" s="19" t="n"/>
    </row>
    <row r="15">
      <c r="A15" s="18">
        <f>IF(B15="","","T-"&amp;TEXT(ROW()-4,"000"))</f>
        <v/>
      </c>
      <c r="B15" s="19" t="inlineStr">
        <is>
          <t>Upload notebook via the Google Form (team leader)</t>
        </is>
      </c>
      <c r="C15" s="20" t="inlineStr">
        <is>
          <t>Week 1</t>
        </is>
      </c>
      <c r="D15" s="19" t="inlineStr">
        <is>
          <t>Submission</t>
        </is>
      </c>
      <c r="E15" s="19" t="n"/>
      <c r="F15" s="20" t="inlineStr">
        <is>
          <t>Not started</t>
        </is>
      </c>
      <c r="G15" s="20" t="inlineStr">
        <is>
          <t>High</t>
        </is>
      </c>
      <c r="H15" s="20" t="n"/>
      <c r="I15" s="21" t="n">
        <v>46298</v>
      </c>
      <c r="J15" s="22" t="n">
        <v>46305.62430555555</v>
      </c>
      <c r="K15" s="21" t="n"/>
      <c r="L15" s="18">
        <f>IF(OR(J15="",F15="Done"),"",ROUNDDOWN(J15-NOW(),0))</f>
        <v/>
      </c>
      <c r="M15" s="18">
        <f>IF(OR(J15="",F15="Done"),"",IF(J15&lt;NOW(),"Yes","No"))</f>
        <v/>
      </c>
      <c r="N15" s="19" t="n"/>
    </row>
    <row r="16">
      <c r="A16" s="18">
        <f>IF(B16="","","T-"&amp;TEXT(ROW()-4,"000"))</f>
        <v/>
      </c>
      <c r="B16" s="19" t="inlineStr">
        <is>
          <t>Keep beijing_clean_team1065.csv.gz for Week 2</t>
        </is>
      </c>
      <c r="C16" s="20" t="inlineStr">
        <is>
          <t>Week 1</t>
        </is>
      </c>
      <c r="D16" s="19" t="inlineStr">
        <is>
          <t>Data</t>
        </is>
      </c>
      <c r="E16" s="19" t="n"/>
      <c r="F16" s="20" t="inlineStr">
        <is>
          <t>Done</t>
        </is>
      </c>
      <c r="G16" s="20" t="inlineStr">
        <is>
          <t>Medium</t>
        </is>
      </c>
      <c r="H16" s="20" t="n"/>
      <c r="I16" s="21" t="n">
        <v>46298</v>
      </c>
      <c r="J16" s="22" t="n">
        <v>46305.62430555555</v>
      </c>
      <c r="K16" s="21" t="n">
        <v>46304</v>
      </c>
      <c r="L16" s="18">
        <f>IF(OR(J16="",F16="Done"),"",ROUNDDOWN(J16-NOW(),0))</f>
        <v/>
      </c>
      <c r="M16" s="18">
        <f>IF(OR(J16="",F16="Done"),"",IF(J16&lt;NOW(),"Yes","No"))</f>
        <v/>
      </c>
      <c r="N16" s="19" t="n"/>
    </row>
    <row r="17">
      <c r="A17" s="18">
        <f>IF(B17="","","T-"&amp;TEXT(ROW()-4,"000"))</f>
        <v/>
      </c>
      <c r="B17" s="19" t="n"/>
      <c r="C17" s="20" t="n"/>
      <c r="D17" s="19" t="n"/>
      <c r="E17" s="19" t="n"/>
      <c r="F17" s="20" t="n"/>
      <c r="G17" s="20" t="n"/>
      <c r="H17" s="20" t="n"/>
      <c r="I17" s="21" t="n"/>
      <c r="J17" s="22" t="n"/>
      <c r="K17" s="21" t="n"/>
      <c r="L17" s="18">
        <f>IF(OR(J17="",F17="Done"),"",ROUNDDOWN(J17-NOW(),0))</f>
        <v/>
      </c>
      <c r="M17" s="18">
        <f>IF(OR(J17="",F17="Done"),"",IF(J17&lt;NOW(),"Yes","No"))</f>
        <v/>
      </c>
      <c r="N17" s="19" t="n"/>
    </row>
    <row r="18">
      <c r="A18" s="18">
        <f>IF(B18="","","T-"&amp;TEXT(ROW()-4,"000"))</f>
        <v/>
      </c>
      <c r="B18" s="19" t="n"/>
      <c r="C18" s="20" t="n"/>
      <c r="D18" s="19" t="n"/>
      <c r="E18" s="19" t="n"/>
      <c r="F18" s="20" t="n"/>
      <c r="G18" s="20" t="n"/>
      <c r="H18" s="20" t="n"/>
      <c r="I18" s="21" t="n"/>
      <c r="J18" s="22" t="n"/>
      <c r="K18" s="21" t="n"/>
      <c r="L18" s="18">
        <f>IF(OR(J18="",F18="Done"),"",ROUNDDOWN(J18-NOW(),0))</f>
        <v/>
      </c>
      <c r="M18" s="18">
        <f>IF(OR(J18="",F18="Done"),"",IF(J18&lt;NOW(),"Yes","No"))</f>
        <v/>
      </c>
      <c r="N18" s="19" t="n"/>
    </row>
    <row r="19">
      <c r="A19" s="18">
        <f>IF(B19="","","T-"&amp;TEXT(ROW()-4,"000"))</f>
        <v/>
      </c>
      <c r="B19" s="19" t="n"/>
      <c r="C19" s="20" t="n"/>
      <c r="D19" s="19" t="n"/>
      <c r="E19" s="19" t="n"/>
      <c r="F19" s="20" t="n"/>
      <c r="G19" s="20" t="n"/>
      <c r="H19" s="20" t="n"/>
      <c r="I19" s="21" t="n"/>
      <c r="J19" s="22" t="n"/>
      <c r="K19" s="21" t="n"/>
      <c r="L19" s="18">
        <f>IF(OR(J19="",F19="Done"),"",ROUNDDOWN(J19-NOW(),0))</f>
        <v/>
      </c>
      <c r="M19" s="18">
        <f>IF(OR(J19="",F19="Done"),"",IF(J19&lt;NOW(),"Yes","No"))</f>
        <v/>
      </c>
      <c r="N19" s="19" t="n"/>
    </row>
    <row r="20">
      <c r="A20" s="18">
        <f>IF(B20="","","T-"&amp;TEXT(ROW()-4,"000"))</f>
        <v/>
      </c>
      <c r="B20" s="19" t="n"/>
      <c r="C20" s="20" t="n"/>
      <c r="D20" s="19" t="n"/>
      <c r="E20" s="19" t="n"/>
      <c r="F20" s="20" t="n"/>
      <c r="G20" s="20" t="n"/>
      <c r="H20" s="20" t="n"/>
      <c r="I20" s="21" t="n"/>
      <c r="J20" s="22" t="n"/>
      <c r="K20" s="21" t="n"/>
      <c r="L20" s="18">
        <f>IF(OR(J20="",F20="Done"),"",ROUNDDOWN(J20-NOW(),0))</f>
        <v/>
      </c>
      <c r="M20" s="18">
        <f>IF(OR(J20="",F20="Done"),"",IF(J20&lt;NOW(),"Yes","No"))</f>
        <v/>
      </c>
      <c r="N20" s="19" t="n"/>
    </row>
    <row r="21">
      <c r="A21" s="18">
        <f>IF(B21="","","T-"&amp;TEXT(ROW()-4,"000"))</f>
        <v/>
      </c>
      <c r="B21" s="19" t="n"/>
      <c r="C21" s="20" t="n"/>
      <c r="D21" s="19" t="n"/>
      <c r="E21" s="19" t="n"/>
      <c r="F21" s="20" t="n"/>
      <c r="G21" s="20" t="n"/>
      <c r="H21" s="20" t="n"/>
      <c r="I21" s="21" t="n"/>
      <c r="J21" s="22" t="n"/>
      <c r="K21" s="21" t="n"/>
      <c r="L21" s="18">
        <f>IF(OR(J21="",F21="Done"),"",ROUNDDOWN(J21-NOW(),0))</f>
        <v/>
      </c>
      <c r="M21" s="18">
        <f>IF(OR(J21="",F21="Done"),"",IF(J21&lt;NOW(),"Yes","No"))</f>
        <v/>
      </c>
      <c r="N21" s="19" t="n"/>
    </row>
    <row r="22">
      <c r="A22" s="18">
        <f>IF(B22="","","T-"&amp;TEXT(ROW()-4,"000"))</f>
        <v/>
      </c>
      <c r="B22" s="19" t="n"/>
      <c r="C22" s="20" t="n"/>
      <c r="D22" s="19" t="n"/>
      <c r="E22" s="19" t="n"/>
      <c r="F22" s="20" t="n"/>
      <c r="G22" s="20" t="n"/>
      <c r="H22" s="20" t="n"/>
      <c r="I22" s="21" t="n"/>
      <c r="J22" s="22" t="n"/>
      <c r="K22" s="21" t="n"/>
      <c r="L22" s="18">
        <f>IF(OR(J22="",F22="Done"),"",ROUNDDOWN(J22-NOW(),0))</f>
        <v/>
      </c>
      <c r="M22" s="18">
        <f>IF(OR(J22="",F22="Done"),"",IF(J22&lt;NOW(),"Yes","No"))</f>
        <v/>
      </c>
      <c r="N22" s="19" t="n"/>
    </row>
    <row r="23">
      <c r="A23" s="18">
        <f>IF(B23="","","T-"&amp;TEXT(ROW()-4,"000"))</f>
        <v/>
      </c>
      <c r="B23" s="19" t="n"/>
      <c r="C23" s="20" t="n"/>
      <c r="D23" s="19" t="n"/>
      <c r="E23" s="19" t="n"/>
      <c r="F23" s="20" t="n"/>
      <c r="G23" s="20" t="n"/>
      <c r="H23" s="20" t="n"/>
      <c r="I23" s="21" t="n"/>
      <c r="J23" s="22" t="n"/>
      <c r="K23" s="21" t="n"/>
      <c r="L23" s="18">
        <f>IF(OR(J23="",F23="Done"),"",ROUNDDOWN(J23-NOW(),0))</f>
        <v/>
      </c>
      <c r="M23" s="18">
        <f>IF(OR(J23="",F23="Done"),"",IF(J23&lt;NOW(),"Yes","No"))</f>
        <v/>
      </c>
      <c r="N23" s="19" t="n"/>
    </row>
    <row r="24">
      <c r="A24" s="18">
        <f>IF(B24="","","T-"&amp;TEXT(ROW()-4,"000"))</f>
        <v/>
      </c>
      <c r="B24" s="19" t="n"/>
      <c r="C24" s="20" t="n"/>
      <c r="D24" s="19" t="n"/>
      <c r="E24" s="19" t="n"/>
      <c r="F24" s="20" t="n"/>
      <c r="G24" s="20" t="n"/>
      <c r="H24" s="20" t="n"/>
      <c r="I24" s="21" t="n"/>
      <c r="J24" s="22" t="n"/>
      <c r="K24" s="21" t="n"/>
      <c r="L24" s="18">
        <f>IF(OR(J24="",F24="Done"),"",ROUNDDOWN(J24-NOW(),0))</f>
        <v/>
      </c>
      <c r="M24" s="18">
        <f>IF(OR(J24="",F24="Done"),"",IF(J24&lt;NOW(),"Yes","No"))</f>
        <v/>
      </c>
      <c r="N24" s="19" t="n"/>
    </row>
    <row r="25">
      <c r="A25" s="18">
        <f>IF(B25="","","T-"&amp;TEXT(ROW()-4,"000"))</f>
        <v/>
      </c>
      <c r="B25" s="19" t="n"/>
      <c r="C25" s="20" t="n"/>
      <c r="D25" s="19" t="n"/>
      <c r="E25" s="19" t="n"/>
      <c r="F25" s="20" t="n"/>
      <c r="G25" s="20" t="n"/>
      <c r="H25" s="20" t="n"/>
      <c r="I25" s="21" t="n"/>
      <c r="J25" s="22" t="n"/>
      <c r="K25" s="21" t="n"/>
      <c r="L25" s="18">
        <f>IF(OR(J25="",F25="Done"),"",ROUNDDOWN(J25-NOW(),0))</f>
        <v/>
      </c>
      <c r="M25" s="18">
        <f>IF(OR(J25="",F25="Done"),"",IF(J25&lt;NOW(),"Yes","No"))</f>
        <v/>
      </c>
      <c r="N25" s="19" t="n"/>
    </row>
    <row r="26">
      <c r="A26" s="18">
        <f>IF(B26="","","T-"&amp;TEXT(ROW()-4,"000"))</f>
        <v/>
      </c>
      <c r="B26" s="19" t="n"/>
      <c r="C26" s="20" t="n"/>
      <c r="D26" s="19" t="n"/>
      <c r="E26" s="19" t="n"/>
      <c r="F26" s="20" t="n"/>
      <c r="G26" s="20" t="n"/>
      <c r="H26" s="20" t="n"/>
      <c r="I26" s="21" t="n"/>
      <c r="J26" s="22" t="n"/>
      <c r="K26" s="21" t="n"/>
      <c r="L26" s="18">
        <f>IF(OR(J26="",F26="Done"),"",ROUNDDOWN(J26-NOW(),0))</f>
        <v/>
      </c>
      <c r="M26" s="18">
        <f>IF(OR(J26="",F26="Done"),"",IF(J26&lt;NOW(),"Yes","No"))</f>
        <v/>
      </c>
      <c r="N26" s="19" t="n"/>
    </row>
    <row r="27">
      <c r="A27" s="18">
        <f>IF(B27="","","T-"&amp;TEXT(ROW()-4,"000"))</f>
        <v/>
      </c>
      <c r="B27" s="19" t="n"/>
      <c r="C27" s="20" t="n"/>
      <c r="D27" s="19" t="n"/>
      <c r="E27" s="19" t="n"/>
      <c r="F27" s="20" t="n"/>
      <c r="G27" s="20" t="n"/>
      <c r="H27" s="20" t="n"/>
      <c r="I27" s="21" t="n"/>
      <c r="J27" s="22" t="n"/>
      <c r="K27" s="21" t="n"/>
      <c r="L27" s="18">
        <f>IF(OR(J27="",F27="Done"),"",ROUNDDOWN(J27-NOW(),0))</f>
        <v/>
      </c>
      <c r="M27" s="18">
        <f>IF(OR(J27="",F27="Done"),"",IF(J27&lt;NOW(),"Yes","No"))</f>
        <v/>
      </c>
      <c r="N27" s="19" t="n"/>
    </row>
    <row r="28">
      <c r="A28" s="18">
        <f>IF(B28="","","T-"&amp;TEXT(ROW()-4,"000"))</f>
        <v/>
      </c>
      <c r="B28" s="19" t="n"/>
      <c r="C28" s="20" t="n"/>
      <c r="D28" s="19" t="n"/>
      <c r="E28" s="19" t="n"/>
      <c r="F28" s="20" t="n"/>
      <c r="G28" s="20" t="n"/>
      <c r="H28" s="20" t="n"/>
      <c r="I28" s="21" t="n"/>
      <c r="J28" s="22" t="n"/>
      <c r="K28" s="21" t="n"/>
      <c r="L28" s="18">
        <f>IF(OR(J28="",F28="Done"),"",ROUNDDOWN(J28-NOW(),0))</f>
        <v/>
      </c>
      <c r="M28" s="18">
        <f>IF(OR(J28="",F28="Done"),"",IF(J28&lt;NOW(),"Yes","No"))</f>
        <v/>
      </c>
      <c r="N28" s="19" t="n"/>
    </row>
    <row r="29">
      <c r="A29" s="18">
        <f>IF(B29="","","T-"&amp;TEXT(ROW()-4,"000"))</f>
        <v/>
      </c>
      <c r="B29" s="19" t="n"/>
      <c r="C29" s="20" t="n"/>
      <c r="D29" s="19" t="n"/>
      <c r="E29" s="19" t="n"/>
      <c r="F29" s="20" t="n"/>
      <c r="G29" s="20" t="n"/>
      <c r="H29" s="20" t="n"/>
      <c r="I29" s="21" t="n"/>
      <c r="J29" s="22" t="n"/>
      <c r="K29" s="21" t="n"/>
      <c r="L29" s="18">
        <f>IF(OR(J29="",F29="Done"),"",ROUNDDOWN(J29-NOW(),0))</f>
        <v/>
      </c>
      <c r="M29" s="18">
        <f>IF(OR(J29="",F29="Done"),"",IF(J29&lt;NOW(),"Yes","No"))</f>
        <v/>
      </c>
      <c r="N29" s="19" t="n"/>
    </row>
    <row r="30">
      <c r="A30" s="18">
        <f>IF(B30="","","T-"&amp;TEXT(ROW()-4,"000"))</f>
        <v/>
      </c>
      <c r="B30" s="19" t="n"/>
      <c r="C30" s="20" t="n"/>
      <c r="D30" s="19" t="n"/>
      <c r="E30" s="19" t="n"/>
      <c r="F30" s="20" t="n"/>
      <c r="G30" s="20" t="n"/>
      <c r="H30" s="20" t="n"/>
      <c r="I30" s="21" t="n"/>
      <c r="J30" s="22" t="n"/>
      <c r="K30" s="21" t="n"/>
      <c r="L30" s="18">
        <f>IF(OR(J30="",F30="Done"),"",ROUNDDOWN(J30-NOW(),0))</f>
        <v/>
      </c>
      <c r="M30" s="18">
        <f>IF(OR(J30="",F30="Done"),"",IF(J30&lt;NOW(),"Yes","No"))</f>
        <v/>
      </c>
      <c r="N30" s="19" t="n"/>
    </row>
    <row r="31">
      <c r="A31" s="18">
        <f>IF(B31="","","T-"&amp;TEXT(ROW()-4,"000"))</f>
        <v/>
      </c>
      <c r="B31" s="19" t="n"/>
      <c r="C31" s="20" t="n"/>
      <c r="D31" s="19" t="n"/>
      <c r="E31" s="19" t="n"/>
      <c r="F31" s="20" t="n"/>
      <c r="G31" s="20" t="n"/>
      <c r="H31" s="20" t="n"/>
      <c r="I31" s="21" t="n"/>
      <c r="J31" s="22" t="n"/>
      <c r="K31" s="21" t="n"/>
      <c r="L31" s="18">
        <f>IF(OR(J31="",F31="Done"),"",ROUNDDOWN(J31-NOW(),0))</f>
        <v/>
      </c>
      <c r="M31" s="18">
        <f>IF(OR(J31="",F31="Done"),"",IF(J31&lt;NOW(),"Yes","No"))</f>
        <v/>
      </c>
      <c r="N31" s="19" t="n"/>
    </row>
    <row r="32">
      <c r="A32" s="18">
        <f>IF(B32="","","T-"&amp;TEXT(ROW()-4,"000"))</f>
        <v/>
      </c>
      <c r="B32" s="19" t="n"/>
      <c r="C32" s="20" t="n"/>
      <c r="D32" s="19" t="n"/>
      <c r="E32" s="19" t="n"/>
      <c r="F32" s="20" t="n"/>
      <c r="G32" s="20" t="n"/>
      <c r="H32" s="20" t="n"/>
      <c r="I32" s="21" t="n"/>
      <c r="J32" s="22" t="n"/>
      <c r="K32" s="21" t="n"/>
      <c r="L32" s="18">
        <f>IF(OR(J32="",F32="Done"),"",ROUNDDOWN(J32-NOW(),0))</f>
        <v/>
      </c>
      <c r="M32" s="18">
        <f>IF(OR(J32="",F32="Done"),"",IF(J32&lt;NOW(),"Yes","No"))</f>
        <v/>
      </c>
      <c r="N32" s="19" t="n"/>
    </row>
    <row r="33">
      <c r="A33" s="18">
        <f>IF(B33="","","T-"&amp;TEXT(ROW()-4,"000"))</f>
        <v/>
      </c>
      <c r="B33" s="19" t="n"/>
      <c r="C33" s="20" t="n"/>
      <c r="D33" s="19" t="n"/>
      <c r="E33" s="19" t="n"/>
      <c r="F33" s="20" t="n"/>
      <c r="G33" s="20" t="n"/>
      <c r="H33" s="20" t="n"/>
      <c r="I33" s="21" t="n"/>
      <c r="J33" s="22" t="n"/>
      <c r="K33" s="21" t="n"/>
      <c r="L33" s="18">
        <f>IF(OR(J33="",F33="Done"),"",ROUNDDOWN(J33-NOW(),0))</f>
        <v/>
      </c>
      <c r="M33" s="18">
        <f>IF(OR(J33="",F33="Done"),"",IF(J33&lt;NOW(),"Yes","No"))</f>
        <v/>
      </c>
      <c r="N33" s="19" t="n"/>
    </row>
    <row r="34">
      <c r="A34" s="18">
        <f>IF(B34="","","T-"&amp;TEXT(ROW()-4,"000"))</f>
        <v/>
      </c>
      <c r="B34" s="19" t="n"/>
      <c r="C34" s="20" t="n"/>
      <c r="D34" s="19" t="n"/>
      <c r="E34" s="19" t="n"/>
      <c r="F34" s="20" t="n"/>
      <c r="G34" s="20" t="n"/>
      <c r="H34" s="20" t="n"/>
      <c r="I34" s="21" t="n"/>
      <c r="J34" s="22" t="n"/>
      <c r="K34" s="21" t="n"/>
      <c r="L34" s="18">
        <f>IF(OR(J34="",F34="Done"),"",ROUNDDOWN(J34-NOW(),0))</f>
        <v/>
      </c>
      <c r="M34" s="18">
        <f>IF(OR(J34="",F34="Done"),"",IF(J34&lt;NOW(),"Yes","No"))</f>
        <v/>
      </c>
      <c r="N34" s="19" t="n"/>
    </row>
    <row r="35">
      <c r="A35" s="18">
        <f>IF(B35="","","T-"&amp;TEXT(ROW()-4,"000"))</f>
        <v/>
      </c>
      <c r="B35" s="19" t="n"/>
      <c r="C35" s="20" t="n"/>
      <c r="D35" s="19" t="n"/>
      <c r="E35" s="19" t="n"/>
      <c r="F35" s="20" t="n"/>
      <c r="G35" s="20" t="n"/>
      <c r="H35" s="20" t="n"/>
      <c r="I35" s="21" t="n"/>
      <c r="J35" s="22" t="n"/>
      <c r="K35" s="21" t="n"/>
      <c r="L35" s="18">
        <f>IF(OR(J35="",F35="Done"),"",ROUNDDOWN(J35-NOW(),0))</f>
        <v/>
      </c>
      <c r="M35" s="18">
        <f>IF(OR(J35="",F35="Done"),"",IF(J35&lt;NOW(),"Yes","No"))</f>
        <v/>
      </c>
      <c r="N35" s="19" t="n"/>
    </row>
    <row r="36">
      <c r="A36" s="18">
        <f>IF(B36="","","T-"&amp;TEXT(ROW()-4,"000"))</f>
        <v/>
      </c>
      <c r="B36" s="19" t="n"/>
      <c r="C36" s="20" t="n"/>
      <c r="D36" s="19" t="n"/>
      <c r="E36" s="19" t="n"/>
      <c r="F36" s="20" t="n"/>
      <c r="G36" s="20" t="n"/>
      <c r="H36" s="20" t="n"/>
      <c r="I36" s="21" t="n"/>
      <c r="J36" s="22" t="n"/>
      <c r="K36" s="21" t="n"/>
      <c r="L36" s="18">
        <f>IF(OR(J36="",F36="Done"),"",ROUNDDOWN(J36-NOW(),0))</f>
        <v/>
      </c>
      <c r="M36" s="18">
        <f>IF(OR(J36="",F36="Done"),"",IF(J36&lt;NOW(),"Yes","No"))</f>
        <v/>
      </c>
      <c r="N36" s="19" t="n"/>
    </row>
    <row r="37">
      <c r="A37" s="18">
        <f>IF(B37="","","T-"&amp;TEXT(ROW()-4,"000"))</f>
        <v/>
      </c>
      <c r="B37" s="19" t="n"/>
      <c r="C37" s="20" t="n"/>
      <c r="D37" s="19" t="n"/>
      <c r="E37" s="19" t="n"/>
      <c r="F37" s="20" t="n"/>
      <c r="G37" s="20" t="n"/>
      <c r="H37" s="20" t="n"/>
      <c r="I37" s="21" t="n"/>
      <c r="J37" s="22" t="n"/>
      <c r="K37" s="21" t="n"/>
      <c r="L37" s="18">
        <f>IF(OR(J37="",F37="Done"),"",ROUNDDOWN(J37-NOW(),0))</f>
        <v/>
      </c>
      <c r="M37" s="18">
        <f>IF(OR(J37="",F37="Done"),"",IF(J37&lt;NOW(),"Yes","No"))</f>
        <v/>
      </c>
      <c r="N37" s="19" t="n"/>
    </row>
    <row r="38">
      <c r="A38" s="18">
        <f>IF(B38="","","T-"&amp;TEXT(ROW()-4,"000"))</f>
        <v/>
      </c>
      <c r="B38" s="19" t="n"/>
      <c r="C38" s="20" t="n"/>
      <c r="D38" s="19" t="n"/>
      <c r="E38" s="19" t="n"/>
      <c r="F38" s="20" t="n"/>
      <c r="G38" s="20" t="n"/>
      <c r="H38" s="20" t="n"/>
      <c r="I38" s="21" t="n"/>
      <c r="J38" s="22" t="n"/>
      <c r="K38" s="21" t="n"/>
      <c r="L38" s="18">
        <f>IF(OR(J38="",F38="Done"),"",ROUNDDOWN(J38-NOW(),0))</f>
        <v/>
      </c>
      <c r="M38" s="18">
        <f>IF(OR(J38="",F38="Done"),"",IF(J38&lt;NOW(),"Yes","No"))</f>
        <v/>
      </c>
      <c r="N38" s="19" t="n"/>
    </row>
    <row r="39">
      <c r="A39" s="18">
        <f>IF(B39="","","T-"&amp;TEXT(ROW()-4,"000"))</f>
        <v/>
      </c>
      <c r="B39" s="19" t="n"/>
      <c r="C39" s="20" t="n"/>
      <c r="D39" s="19" t="n"/>
      <c r="E39" s="19" t="n"/>
      <c r="F39" s="20" t="n"/>
      <c r="G39" s="20" t="n"/>
      <c r="H39" s="20" t="n"/>
      <c r="I39" s="21" t="n"/>
      <c r="J39" s="22" t="n"/>
      <c r="K39" s="21" t="n"/>
      <c r="L39" s="18">
        <f>IF(OR(J39="",F39="Done"),"",ROUNDDOWN(J39-NOW(),0))</f>
        <v/>
      </c>
      <c r="M39" s="18">
        <f>IF(OR(J39="",F39="Done"),"",IF(J39&lt;NOW(),"Yes","No"))</f>
        <v/>
      </c>
      <c r="N39" s="19" t="n"/>
    </row>
    <row r="40">
      <c r="A40" s="18">
        <f>IF(B40="","","T-"&amp;TEXT(ROW()-4,"000"))</f>
        <v/>
      </c>
      <c r="B40" s="19" t="n"/>
      <c r="C40" s="20" t="n"/>
      <c r="D40" s="19" t="n"/>
      <c r="E40" s="19" t="n"/>
      <c r="F40" s="20" t="n"/>
      <c r="G40" s="20" t="n"/>
      <c r="H40" s="20" t="n"/>
      <c r="I40" s="21" t="n"/>
      <c r="J40" s="22" t="n"/>
      <c r="K40" s="21" t="n"/>
      <c r="L40" s="18">
        <f>IF(OR(J40="",F40="Done"),"",ROUNDDOWN(J40-NOW(),0))</f>
        <v/>
      </c>
      <c r="M40" s="18">
        <f>IF(OR(J40="",F40="Done"),"",IF(J40&lt;NOW(),"Yes","No"))</f>
        <v/>
      </c>
      <c r="N40" s="19" t="n"/>
    </row>
    <row r="41">
      <c r="A41" s="18">
        <f>IF(B41="","","T-"&amp;TEXT(ROW()-4,"000"))</f>
        <v/>
      </c>
      <c r="B41" s="19" t="n"/>
      <c r="C41" s="20" t="n"/>
      <c r="D41" s="19" t="n"/>
      <c r="E41" s="19" t="n"/>
      <c r="F41" s="20" t="n"/>
      <c r="G41" s="20" t="n"/>
      <c r="H41" s="20" t="n"/>
      <c r="I41" s="21" t="n"/>
      <c r="J41" s="22" t="n"/>
      <c r="K41" s="21" t="n"/>
      <c r="L41" s="18">
        <f>IF(OR(J41="",F41="Done"),"",ROUNDDOWN(J41-NOW(),0))</f>
        <v/>
      </c>
      <c r="M41" s="18">
        <f>IF(OR(J41="",F41="Done"),"",IF(J41&lt;NOW(),"Yes","No"))</f>
        <v/>
      </c>
      <c r="N41" s="19" t="n"/>
    </row>
    <row r="42">
      <c r="A42" s="18">
        <f>IF(B42="","","T-"&amp;TEXT(ROW()-4,"000"))</f>
        <v/>
      </c>
      <c r="B42" s="19" t="n"/>
      <c r="C42" s="20" t="n"/>
      <c r="D42" s="19" t="n"/>
      <c r="E42" s="19" t="n"/>
      <c r="F42" s="20" t="n"/>
      <c r="G42" s="20" t="n"/>
      <c r="H42" s="20" t="n"/>
      <c r="I42" s="21" t="n"/>
      <c r="J42" s="22" t="n"/>
      <c r="K42" s="21" t="n"/>
      <c r="L42" s="18">
        <f>IF(OR(J42="",F42="Done"),"",ROUNDDOWN(J42-NOW(),0))</f>
        <v/>
      </c>
      <c r="M42" s="18">
        <f>IF(OR(J42="",F42="Done"),"",IF(J42&lt;NOW(),"Yes","No"))</f>
        <v/>
      </c>
      <c r="N42" s="19" t="n"/>
    </row>
    <row r="43">
      <c r="A43" s="18">
        <f>IF(B43="","","T-"&amp;TEXT(ROW()-4,"000"))</f>
        <v/>
      </c>
      <c r="B43" s="19" t="n"/>
      <c r="C43" s="20" t="n"/>
      <c r="D43" s="19" t="n"/>
      <c r="E43" s="19" t="n"/>
      <c r="F43" s="20" t="n"/>
      <c r="G43" s="20" t="n"/>
      <c r="H43" s="20" t="n"/>
      <c r="I43" s="21" t="n"/>
      <c r="J43" s="22" t="n"/>
      <c r="K43" s="21" t="n"/>
      <c r="L43" s="18">
        <f>IF(OR(J43="",F43="Done"),"",ROUNDDOWN(J43-NOW(),0))</f>
        <v/>
      </c>
      <c r="M43" s="18">
        <f>IF(OR(J43="",F43="Done"),"",IF(J43&lt;NOW(),"Yes","No"))</f>
        <v/>
      </c>
      <c r="N43" s="19" t="n"/>
    </row>
    <row r="44">
      <c r="A44" s="18">
        <f>IF(B44="","","T-"&amp;TEXT(ROW()-4,"000"))</f>
        <v/>
      </c>
      <c r="B44" s="19" t="n"/>
      <c r="C44" s="20" t="n"/>
      <c r="D44" s="19" t="n"/>
      <c r="E44" s="19" t="n"/>
      <c r="F44" s="20" t="n"/>
      <c r="G44" s="20" t="n"/>
      <c r="H44" s="20" t="n"/>
      <c r="I44" s="21" t="n"/>
      <c r="J44" s="22" t="n"/>
      <c r="K44" s="21" t="n"/>
      <c r="L44" s="18">
        <f>IF(OR(J44="",F44="Done"),"",ROUNDDOWN(J44-NOW(),0))</f>
        <v/>
      </c>
      <c r="M44" s="18">
        <f>IF(OR(J44="",F44="Done"),"",IF(J44&lt;NOW(),"Yes","No"))</f>
        <v/>
      </c>
      <c r="N44" s="19" t="n"/>
    </row>
    <row r="45">
      <c r="A45" s="18">
        <f>IF(B45="","","T-"&amp;TEXT(ROW()-4,"000"))</f>
        <v/>
      </c>
      <c r="B45" s="19" t="n"/>
      <c r="C45" s="20" t="n"/>
      <c r="D45" s="19" t="n"/>
      <c r="E45" s="19" t="n"/>
      <c r="F45" s="20" t="n"/>
      <c r="G45" s="20" t="n"/>
      <c r="H45" s="20" t="n"/>
      <c r="I45" s="21" t="n"/>
      <c r="J45" s="22" t="n"/>
      <c r="K45" s="21" t="n"/>
      <c r="L45" s="18">
        <f>IF(OR(J45="",F45="Done"),"",ROUNDDOWN(J45-NOW(),0))</f>
        <v/>
      </c>
      <c r="M45" s="18">
        <f>IF(OR(J45="",F45="Done"),"",IF(J45&lt;NOW(),"Yes","No"))</f>
        <v/>
      </c>
      <c r="N45" s="19" t="n"/>
    </row>
    <row r="46">
      <c r="A46" s="18">
        <f>IF(B46="","","T-"&amp;TEXT(ROW()-4,"000"))</f>
        <v/>
      </c>
      <c r="B46" s="19" t="n"/>
      <c r="C46" s="20" t="n"/>
      <c r="D46" s="19" t="n"/>
      <c r="E46" s="19" t="n"/>
      <c r="F46" s="20" t="n"/>
      <c r="G46" s="20" t="n"/>
      <c r="H46" s="20" t="n"/>
      <c r="I46" s="21" t="n"/>
      <c r="J46" s="22" t="n"/>
      <c r="K46" s="21" t="n"/>
      <c r="L46" s="18">
        <f>IF(OR(J46="",F46="Done"),"",ROUNDDOWN(J46-NOW(),0))</f>
        <v/>
      </c>
      <c r="M46" s="18">
        <f>IF(OR(J46="",F46="Done"),"",IF(J46&lt;NOW(),"Yes","No"))</f>
        <v/>
      </c>
      <c r="N46" s="19" t="n"/>
    </row>
    <row r="47">
      <c r="A47" s="18">
        <f>IF(B47="","","T-"&amp;TEXT(ROW()-4,"000"))</f>
        <v/>
      </c>
      <c r="B47" s="19" t="n"/>
      <c r="C47" s="20" t="n"/>
      <c r="D47" s="19" t="n"/>
      <c r="E47" s="19" t="n"/>
      <c r="F47" s="20" t="n"/>
      <c r="G47" s="20" t="n"/>
      <c r="H47" s="20" t="n"/>
      <c r="I47" s="21" t="n"/>
      <c r="J47" s="22" t="n"/>
      <c r="K47" s="21" t="n"/>
      <c r="L47" s="18">
        <f>IF(OR(J47="",F47="Done"),"",ROUNDDOWN(J47-NOW(),0))</f>
        <v/>
      </c>
      <c r="M47" s="18">
        <f>IF(OR(J47="",F47="Done"),"",IF(J47&lt;NOW(),"Yes","No"))</f>
        <v/>
      </c>
      <c r="N47" s="19" t="n"/>
    </row>
    <row r="48">
      <c r="A48" s="18">
        <f>IF(B48="","","T-"&amp;TEXT(ROW()-4,"000"))</f>
        <v/>
      </c>
      <c r="B48" s="19" t="n"/>
      <c r="C48" s="20" t="n"/>
      <c r="D48" s="19" t="n"/>
      <c r="E48" s="19" t="n"/>
      <c r="F48" s="20" t="n"/>
      <c r="G48" s="20" t="n"/>
      <c r="H48" s="20" t="n"/>
      <c r="I48" s="21" t="n"/>
      <c r="J48" s="22" t="n"/>
      <c r="K48" s="21" t="n"/>
      <c r="L48" s="18">
        <f>IF(OR(J48="",F48="Done"),"",ROUNDDOWN(J48-NOW(),0))</f>
        <v/>
      </c>
      <c r="M48" s="18">
        <f>IF(OR(J48="",F48="Done"),"",IF(J48&lt;NOW(),"Yes","No"))</f>
        <v/>
      </c>
      <c r="N48" s="19" t="n"/>
    </row>
    <row r="49">
      <c r="A49" s="18">
        <f>IF(B49="","","T-"&amp;TEXT(ROW()-4,"000"))</f>
        <v/>
      </c>
      <c r="B49" s="19" t="n"/>
      <c r="C49" s="20" t="n"/>
      <c r="D49" s="19" t="n"/>
      <c r="E49" s="19" t="n"/>
      <c r="F49" s="20" t="n"/>
      <c r="G49" s="20" t="n"/>
      <c r="H49" s="20" t="n"/>
      <c r="I49" s="21" t="n"/>
      <c r="J49" s="22" t="n"/>
      <c r="K49" s="21" t="n"/>
      <c r="L49" s="18">
        <f>IF(OR(J49="",F49="Done"),"",ROUNDDOWN(J49-NOW(),0))</f>
        <v/>
      </c>
      <c r="M49" s="18">
        <f>IF(OR(J49="",F49="Done"),"",IF(J49&lt;NOW(),"Yes","No"))</f>
        <v/>
      </c>
      <c r="N49" s="19" t="n"/>
    </row>
    <row r="50">
      <c r="A50" s="18">
        <f>IF(B50="","","T-"&amp;TEXT(ROW()-4,"000"))</f>
        <v/>
      </c>
      <c r="B50" s="19" t="n"/>
      <c r="C50" s="20" t="n"/>
      <c r="D50" s="19" t="n"/>
      <c r="E50" s="19" t="n"/>
      <c r="F50" s="20" t="n"/>
      <c r="G50" s="20" t="n"/>
      <c r="H50" s="20" t="n"/>
      <c r="I50" s="21" t="n"/>
      <c r="J50" s="22" t="n"/>
      <c r="K50" s="21" t="n"/>
      <c r="L50" s="18">
        <f>IF(OR(J50="",F50="Done"),"",ROUNDDOWN(J50-NOW(),0))</f>
        <v/>
      </c>
      <c r="M50" s="18">
        <f>IF(OR(J50="",F50="Done"),"",IF(J50&lt;NOW(),"Yes","No"))</f>
        <v/>
      </c>
      <c r="N50" s="19" t="n"/>
    </row>
    <row r="51">
      <c r="A51" s="18">
        <f>IF(B51="","","T-"&amp;TEXT(ROW()-4,"000"))</f>
        <v/>
      </c>
      <c r="B51" s="19" t="n"/>
      <c r="C51" s="20" t="n"/>
      <c r="D51" s="19" t="n"/>
      <c r="E51" s="19" t="n"/>
      <c r="F51" s="20" t="n"/>
      <c r="G51" s="20" t="n"/>
      <c r="H51" s="20" t="n"/>
      <c r="I51" s="21" t="n"/>
      <c r="J51" s="22" t="n"/>
      <c r="K51" s="21" t="n"/>
      <c r="L51" s="18">
        <f>IF(OR(J51="",F51="Done"),"",ROUNDDOWN(J51-NOW(),0))</f>
        <v/>
      </c>
      <c r="M51" s="18">
        <f>IF(OR(J51="",F51="Done"),"",IF(J51&lt;NOW(),"Yes","No"))</f>
        <v/>
      </c>
      <c r="N51" s="19" t="n"/>
    </row>
    <row r="52">
      <c r="A52" s="18">
        <f>IF(B52="","","T-"&amp;TEXT(ROW()-4,"000"))</f>
        <v/>
      </c>
      <c r="B52" s="19" t="n"/>
      <c r="C52" s="20" t="n"/>
      <c r="D52" s="19" t="n"/>
      <c r="E52" s="19" t="n"/>
      <c r="F52" s="20" t="n"/>
      <c r="G52" s="20" t="n"/>
      <c r="H52" s="20" t="n"/>
      <c r="I52" s="21" t="n"/>
      <c r="J52" s="22" t="n"/>
      <c r="K52" s="21" t="n"/>
      <c r="L52" s="18">
        <f>IF(OR(J52="",F52="Done"),"",ROUNDDOWN(J52-NOW(),0))</f>
        <v/>
      </c>
      <c r="M52" s="18">
        <f>IF(OR(J52="",F52="Done"),"",IF(J52&lt;NOW(),"Yes","No"))</f>
        <v/>
      </c>
      <c r="N52" s="19" t="n"/>
    </row>
    <row r="53">
      <c r="A53" s="18">
        <f>IF(B53="","","T-"&amp;TEXT(ROW()-4,"000"))</f>
        <v/>
      </c>
      <c r="B53" s="19" t="n"/>
      <c r="C53" s="20" t="n"/>
      <c r="D53" s="19" t="n"/>
      <c r="E53" s="19" t="n"/>
      <c r="F53" s="20" t="n"/>
      <c r="G53" s="20" t="n"/>
      <c r="H53" s="20" t="n"/>
      <c r="I53" s="21" t="n"/>
      <c r="J53" s="22" t="n"/>
      <c r="K53" s="21" t="n"/>
      <c r="L53" s="18">
        <f>IF(OR(J53="",F53="Done"),"",ROUNDDOWN(J53-NOW(),0))</f>
        <v/>
      </c>
      <c r="M53" s="18">
        <f>IF(OR(J53="",F53="Done"),"",IF(J53&lt;NOW(),"Yes","No"))</f>
        <v/>
      </c>
      <c r="N53" s="19" t="n"/>
    </row>
    <row r="54">
      <c r="A54" s="18">
        <f>IF(B54="","","T-"&amp;TEXT(ROW()-4,"000"))</f>
        <v/>
      </c>
      <c r="B54" s="19" t="n"/>
      <c r="C54" s="20" t="n"/>
      <c r="D54" s="19" t="n"/>
      <c r="E54" s="19" t="n"/>
      <c r="F54" s="20" t="n"/>
      <c r="G54" s="20" t="n"/>
      <c r="H54" s="20" t="n"/>
      <c r="I54" s="21" t="n"/>
      <c r="J54" s="22" t="n"/>
      <c r="K54" s="21" t="n"/>
      <c r="L54" s="18">
        <f>IF(OR(J54="",F54="Done"),"",ROUNDDOWN(J54-NOW(),0))</f>
        <v/>
      </c>
      <c r="M54" s="18">
        <f>IF(OR(J54="",F54="Done"),"",IF(J54&lt;NOW(),"Yes","No"))</f>
        <v/>
      </c>
      <c r="N54" s="19" t="n"/>
    </row>
    <row r="55">
      <c r="A55" s="18">
        <f>IF(B55="","","T-"&amp;TEXT(ROW()-4,"000"))</f>
        <v/>
      </c>
      <c r="B55" s="19" t="n"/>
      <c r="C55" s="20" t="n"/>
      <c r="D55" s="19" t="n"/>
      <c r="E55" s="19" t="n"/>
      <c r="F55" s="20" t="n"/>
      <c r="G55" s="20" t="n"/>
      <c r="H55" s="20" t="n"/>
      <c r="I55" s="21" t="n"/>
      <c r="J55" s="22" t="n"/>
      <c r="K55" s="21" t="n"/>
      <c r="L55" s="18">
        <f>IF(OR(J55="",F55="Done"),"",ROUNDDOWN(J55-NOW(),0))</f>
        <v/>
      </c>
      <c r="M55" s="18">
        <f>IF(OR(J55="",F55="Done"),"",IF(J55&lt;NOW(),"Yes","No"))</f>
        <v/>
      </c>
      <c r="N55" s="19" t="n"/>
    </row>
    <row r="56">
      <c r="A56" s="18">
        <f>IF(B56="","","T-"&amp;TEXT(ROW()-4,"000"))</f>
        <v/>
      </c>
      <c r="B56" s="19" t="n"/>
      <c r="C56" s="20" t="n"/>
      <c r="D56" s="19" t="n"/>
      <c r="E56" s="19" t="n"/>
      <c r="F56" s="20" t="n"/>
      <c r="G56" s="20" t="n"/>
      <c r="H56" s="20" t="n"/>
      <c r="I56" s="21" t="n"/>
      <c r="J56" s="22" t="n"/>
      <c r="K56" s="21" t="n"/>
      <c r="L56" s="18">
        <f>IF(OR(J56="",F56="Done"),"",ROUNDDOWN(J56-NOW(),0))</f>
        <v/>
      </c>
      <c r="M56" s="18">
        <f>IF(OR(J56="",F56="Done"),"",IF(J56&lt;NOW(),"Yes","No"))</f>
        <v/>
      </c>
      <c r="N56" s="19" t="n"/>
    </row>
    <row r="57">
      <c r="A57" s="18">
        <f>IF(B57="","","T-"&amp;TEXT(ROW()-4,"000"))</f>
        <v/>
      </c>
      <c r="B57" s="19" t="n"/>
      <c r="C57" s="20" t="n"/>
      <c r="D57" s="19" t="n"/>
      <c r="E57" s="19" t="n"/>
      <c r="F57" s="20" t="n"/>
      <c r="G57" s="20" t="n"/>
      <c r="H57" s="20" t="n"/>
      <c r="I57" s="21" t="n"/>
      <c r="J57" s="22" t="n"/>
      <c r="K57" s="21" t="n"/>
      <c r="L57" s="18">
        <f>IF(OR(J57="",F57="Done"),"",ROUNDDOWN(J57-NOW(),0))</f>
        <v/>
      </c>
      <c r="M57" s="18">
        <f>IF(OR(J57="",F57="Done"),"",IF(J57&lt;NOW(),"Yes","No"))</f>
        <v/>
      </c>
      <c r="N57" s="19" t="n"/>
    </row>
    <row r="58">
      <c r="A58" s="18">
        <f>IF(B58="","","T-"&amp;TEXT(ROW()-4,"000"))</f>
        <v/>
      </c>
      <c r="B58" s="19" t="n"/>
      <c r="C58" s="20" t="n"/>
      <c r="D58" s="19" t="n"/>
      <c r="E58" s="19" t="n"/>
      <c r="F58" s="20" t="n"/>
      <c r="G58" s="20" t="n"/>
      <c r="H58" s="20" t="n"/>
      <c r="I58" s="21" t="n"/>
      <c r="J58" s="22" t="n"/>
      <c r="K58" s="21" t="n"/>
      <c r="L58" s="18">
        <f>IF(OR(J58="",F58="Done"),"",ROUNDDOWN(J58-NOW(),0))</f>
        <v/>
      </c>
      <c r="M58" s="18">
        <f>IF(OR(J58="",F58="Done"),"",IF(J58&lt;NOW(),"Yes","No"))</f>
        <v/>
      </c>
      <c r="N58" s="19" t="n"/>
    </row>
    <row r="59">
      <c r="A59" s="18">
        <f>IF(B59="","","T-"&amp;TEXT(ROW()-4,"000"))</f>
        <v/>
      </c>
      <c r="B59" s="19" t="n"/>
      <c r="C59" s="20" t="n"/>
      <c r="D59" s="19" t="n"/>
      <c r="E59" s="19" t="n"/>
      <c r="F59" s="20" t="n"/>
      <c r="G59" s="20" t="n"/>
      <c r="H59" s="20" t="n"/>
      <c r="I59" s="21" t="n"/>
      <c r="J59" s="22" t="n"/>
      <c r="K59" s="21" t="n"/>
      <c r="L59" s="18">
        <f>IF(OR(J59="",F59="Done"),"",ROUNDDOWN(J59-NOW(),0))</f>
        <v/>
      </c>
      <c r="M59" s="18">
        <f>IF(OR(J59="",F59="Done"),"",IF(J59&lt;NOW(),"Yes","No"))</f>
        <v/>
      </c>
      <c r="N59" s="19" t="n"/>
    </row>
    <row r="60">
      <c r="A60" s="18">
        <f>IF(B60="","","T-"&amp;TEXT(ROW()-4,"000"))</f>
        <v/>
      </c>
      <c r="B60" s="19" t="n"/>
      <c r="C60" s="20" t="n"/>
      <c r="D60" s="19" t="n"/>
      <c r="E60" s="19" t="n"/>
      <c r="F60" s="20" t="n"/>
      <c r="G60" s="20" t="n"/>
      <c r="H60" s="20" t="n"/>
      <c r="I60" s="21" t="n"/>
      <c r="J60" s="22" t="n"/>
      <c r="K60" s="21" t="n"/>
      <c r="L60" s="18">
        <f>IF(OR(J60="",F60="Done"),"",ROUNDDOWN(J60-NOW(),0))</f>
        <v/>
      </c>
      <c r="M60" s="18">
        <f>IF(OR(J60="",F60="Done"),"",IF(J60&lt;NOW(),"Yes","No"))</f>
        <v/>
      </c>
      <c r="N60" s="19" t="n"/>
    </row>
    <row r="61">
      <c r="A61" s="18">
        <f>IF(B61="","","T-"&amp;TEXT(ROW()-4,"000"))</f>
        <v/>
      </c>
      <c r="B61" s="19" t="n"/>
      <c r="C61" s="20" t="n"/>
      <c r="D61" s="19" t="n"/>
      <c r="E61" s="19" t="n"/>
      <c r="F61" s="20" t="n"/>
      <c r="G61" s="20" t="n"/>
      <c r="H61" s="20" t="n"/>
      <c r="I61" s="21" t="n"/>
      <c r="J61" s="22" t="n"/>
      <c r="K61" s="21" t="n"/>
      <c r="L61" s="18">
        <f>IF(OR(J61="",F61="Done"),"",ROUNDDOWN(J61-NOW(),0))</f>
        <v/>
      </c>
      <c r="M61" s="18">
        <f>IF(OR(J61="",F61="Done"),"",IF(J61&lt;NOW(),"Yes","No"))</f>
        <v/>
      </c>
      <c r="N61" s="19" t="n"/>
    </row>
    <row r="62">
      <c r="A62" s="18">
        <f>IF(B62="","","T-"&amp;TEXT(ROW()-4,"000"))</f>
        <v/>
      </c>
      <c r="B62" s="19" t="n"/>
      <c r="C62" s="20" t="n"/>
      <c r="D62" s="19" t="n"/>
      <c r="E62" s="19" t="n"/>
      <c r="F62" s="20" t="n"/>
      <c r="G62" s="20" t="n"/>
      <c r="H62" s="20" t="n"/>
      <c r="I62" s="21" t="n"/>
      <c r="J62" s="22" t="n"/>
      <c r="K62" s="21" t="n"/>
      <c r="L62" s="18">
        <f>IF(OR(J62="",F62="Done"),"",ROUNDDOWN(J62-NOW(),0))</f>
        <v/>
      </c>
      <c r="M62" s="18">
        <f>IF(OR(J62="",F62="Done"),"",IF(J62&lt;NOW(),"Yes","No"))</f>
        <v/>
      </c>
      <c r="N62" s="19" t="n"/>
    </row>
    <row r="63">
      <c r="A63" s="18">
        <f>IF(B63="","","T-"&amp;TEXT(ROW()-4,"000"))</f>
        <v/>
      </c>
      <c r="B63" s="19" t="n"/>
      <c r="C63" s="20" t="n"/>
      <c r="D63" s="19" t="n"/>
      <c r="E63" s="19" t="n"/>
      <c r="F63" s="20" t="n"/>
      <c r="G63" s="20" t="n"/>
      <c r="H63" s="20" t="n"/>
      <c r="I63" s="21" t="n"/>
      <c r="J63" s="22" t="n"/>
      <c r="K63" s="21" t="n"/>
      <c r="L63" s="18">
        <f>IF(OR(J63="",F63="Done"),"",ROUNDDOWN(J63-NOW(),0))</f>
        <v/>
      </c>
      <c r="M63" s="18">
        <f>IF(OR(J63="",F63="Done"),"",IF(J63&lt;NOW(),"Yes","No"))</f>
        <v/>
      </c>
      <c r="N63" s="19" t="n"/>
    </row>
    <row r="64">
      <c r="A64" s="18">
        <f>IF(B64="","","T-"&amp;TEXT(ROW()-4,"000"))</f>
        <v/>
      </c>
      <c r="B64" s="19" t="n"/>
      <c r="C64" s="20" t="n"/>
      <c r="D64" s="19" t="n"/>
      <c r="E64" s="19" t="n"/>
      <c r="F64" s="20" t="n"/>
      <c r="G64" s="20" t="n"/>
      <c r="H64" s="20" t="n"/>
      <c r="I64" s="21" t="n"/>
      <c r="J64" s="22" t="n"/>
      <c r="K64" s="21" t="n"/>
      <c r="L64" s="18">
        <f>IF(OR(J64="",F64="Done"),"",ROUNDDOWN(J64-NOW(),0))</f>
        <v/>
      </c>
      <c r="M64" s="18">
        <f>IF(OR(J64="",F64="Done"),"",IF(J64&lt;NOW(),"Yes","No"))</f>
        <v/>
      </c>
      <c r="N64" s="19" t="n"/>
    </row>
    <row r="65">
      <c r="A65" s="18">
        <f>IF(B65="","","T-"&amp;TEXT(ROW()-4,"000"))</f>
        <v/>
      </c>
      <c r="B65" s="19" t="n"/>
      <c r="C65" s="20" t="n"/>
      <c r="D65" s="19" t="n"/>
      <c r="E65" s="19" t="n"/>
      <c r="F65" s="20" t="n"/>
      <c r="G65" s="20" t="n"/>
      <c r="H65" s="20" t="n"/>
      <c r="I65" s="21" t="n"/>
      <c r="J65" s="22" t="n"/>
      <c r="K65" s="21" t="n"/>
      <c r="L65" s="18">
        <f>IF(OR(J65="",F65="Done"),"",ROUNDDOWN(J65-NOW(),0))</f>
        <v/>
      </c>
      <c r="M65" s="18">
        <f>IF(OR(J65="",F65="Done"),"",IF(J65&lt;NOW(),"Yes","No"))</f>
        <v/>
      </c>
      <c r="N65" s="19" t="n"/>
    </row>
    <row r="66">
      <c r="A66" s="18">
        <f>IF(B66="","","T-"&amp;TEXT(ROW()-4,"000"))</f>
        <v/>
      </c>
      <c r="B66" s="19" t="n"/>
      <c r="C66" s="20" t="n"/>
      <c r="D66" s="19" t="n"/>
      <c r="E66" s="19" t="n"/>
      <c r="F66" s="20" t="n"/>
      <c r="G66" s="20" t="n"/>
      <c r="H66" s="20" t="n"/>
      <c r="I66" s="21" t="n"/>
      <c r="J66" s="22" t="n"/>
      <c r="K66" s="21" t="n"/>
      <c r="L66" s="18">
        <f>IF(OR(J66="",F66="Done"),"",ROUNDDOWN(J66-NOW(),0))</f>
        <v/>
      </c>
      <c r="M66" s="18">
        <f>IF(OR(J66="",F66="Done"),"",IF(J66&lt;NOW(),"Yes","No"))</f>
        <v/>
      </c>
      <c r="N66" s="19" t="n"/>
    </row>
    <row r="67">
      <c r="A67" s="18">
        <f>IF(B67="","","T-"&amp;TEXT(ROW()-4,"000"))</f>
        <v/>
      </c>
      <c r="B67" s="19" t="n"/>
      <c r="C67" s="20" t="n"/>
      <c r="D67" s="19" t="n"/>
      <c r="E67" s="19" t="n"/>
      <c r="F67" s="20" t="n"/>
      <c r="G67" s="20" t="n"/>
      <c r="H67" s="20" t="n"/>
      <c r="I67" s="21" t="n"/>
      <c r="J67" s="22" t="n"/>
      <c r="K67" s="21" t="n"/>
      <c r="L67" s="18">
        <f>IF(OR(J67="",F67="Done"),"",ROUNDDOWN(J67-NOW(),0))</f>
        <v/>
      </c>
      <c r="M67" s="18">
        <f>IF(OR(J67="",F67="Done"),"",IF(J67&lt;NOW(),"Yes","No"))</f>
        <v/>
      </c>
      <c r="N67" s="19" t="n"/>
    </row>
    <row r="68">
      <c r="A68" s="18">
        <f>IF(B68="","","T-"&amp;TEXT(ROW()-4,"000"))</f>
        <v/>
      </c>
      <c r="B68" s="19" t="n"/>
      <c r="C68" s="20" t="n"/>
      <c r="D68" s="19" t="n"/>
      <c r="E68" s="19" t="n"/>
      <c r="F68" s="20" t="n"/>
      <c r="G68" s="20" t="n"/>
      <c r="H68" s="20" t="n"/>
      <c r="I68" s="21" t="n"/>
      <c r="J68" s="22" t="n"/>
      <c r="K68" s="21" t="n"/>
      <c r="L68" s="18">
        <f>IF(OR(J68="",F68="Done"),"",ROUNDDOWN(J68-NOW(),0))</f>
        <v/>
      </c>
      <c r="M68" s="18">
        <f>IF(OR(J68="",F68="Done"),"",IF(J68&lt;NOW(),"Yes","No"))</f>
        <v/>
      </c>
      <c r="N68" s="19" t="n"/>
    </row>
    <row r="69">
      <c r="A69" s="18">
        <f>IF(B69="","","T-"&amp;TEXT(ROW()-4,"000"))</f>
        <v/>
      </c>
      <c r="B69" s="19" t="n"/>
      <c r="C69" s="20" t="n"/>
      <c r="D69" s="19" t="n"/>
      <c r="E69" s="19" t="n"/>
      <c r="F69" s="20" t="n"/>
      <c r="G69" s="20" t="n"/>
      <c r="H69" s="20" t="n"/>
      <c r="I69" s="21" t="n"/>
      <c r="J69" s="22" t="n"/>
      <c r="K69" s="21" t="n"/>
      <c r="L69" s="18">
        <f>IF(OR(J69="",F69="Done"),"",ROUNDDOWN(J69-NOW(),0))</f>
        <v/>
      </c>
      <c r="M69" s="18">
        <f>IF(OR(J69="",F69="Done"),"",IF(J69&lt;NOW(),"Yes","No"))</f>
        <v/>
      </c>
      <c r="N69" s="19" t="n"/>
    </row>
    <row r="70">
      <c r="A70" s="18">
        <f>IF(B70="","","T-"&amp;TEXT(ROW()-4,"000"))</f>
        <v/>
      </c>
      <c r="B70" s="19" t="n"/>
      <c r="C70" s="20" t="n"/>
      <c r="D70" s="19" t="n"/>
      <c r="E70" s="19" t="n"/>
      <c r="F70" s="20" t="n"/>
      <c r="G70" s="20" t="n"/>
      <c r="H70" s="20" t="n"/>
      <c r="I70" s="21" t="n"/>
      <c r="J70" s="22" t="n"/>
      <c r="K70" s="21" t="n"/>
      <c r="L70" s="18">
        <f>IF(OR(J70="",F70="Done"),"",ROUNDDOWN(J70-NOW(),0))</f>
        <v/>
      </c>
      <c r="M70" s="18">
        <f>IF(OR(J70="",F70="Done"),"",IF(J70&lt;NOW(),"Yes","No"))</f>
        <v/>
      </c>
      <c r="N70" s="19" t="n"/>
    </row>
    <row r="71">
      <c r="A71" s="18">
        <f>IF(B71="","","T-"&amp;TEXT(ROW()-4,"000"))</f>
        <v/>
      </c>
      <c r="B71" s="19" t="n"/>
      <c r="C71" s="20" t="n"/>
      <c r="D71" s="19" t="n"/>
      <c r="E71" s="19" t="n"/>
      <c r="F71" s="20" t="n"/>
      <c r="G71" s="20" t="n"/>
      <c r="H71" s="20" t="n"/>
      <c r="I71" s="21" t="n"/>
      <c r="J71" s="22" t="n"/>
      <c r="K71" s="21" t="n"/>
      <c r="L71" s="18">
        <f>IF(OR(J71="",F71="Done"),"",ROUNDDOWN(J71-NOW(),0))</f>
        <v/>
      </c>
      <c r="M71" s="18">
        <f>IF(OR(J71="",F71="Done"),"",IF(J71&lt;NOW(),"Yes","No"))</f>
        <v/>
      </c>
      <c r="N71" s="19" t="n"/>
    </row>
    <row r="72">
      <c r="A72" s="18">
        <f>IF(B72="","","T-"&amp;TEXT(ROW()-4,"000"))</f>
        <v/>
      </c>
      <c r="B72" s="19" t="n"/>
      <c r="C72" s="20" t="n"/>
      <c r="D72" s="19" t="n"/>
      <c r="E72" s="19" t="n"/>
      <c r="F72" s="20" t="n"/>
      <c r="G72" s="20" t="n"/>
      <c r="H72" s="20" t="n"/>
      <c r="I72" s="21" t="n"/>
      <c r="J72" s="22" t="n"/>
      <c r="K72" s="21" t="n"/>
      <c r="L72" s="18">
        <f>IF(OR(J72="",F72="Done"),"",ROUNDDOWN(J72-NOW(),0))</f>
        <v/>
      </c>
      <c r="M72" s="18">
        <f>IF(OR(J72="",F72="Done"),"",IF(J72&lt;NOW(),"Yes","No"))</f>
        <v/>
      </c>
      <c r="N72" s="19" t="n"/>
    </row>
    <row r="73">
      <c r="A73" s="18">
        <f>IF(B73="","","T-"&amp;TEXT(ROW()-4,"000"))</f>
        <v/>
      </c>
      <c r="B73" s="19" t="n"/>
      <c r="C73" s="20" t="n"/>
      <c r="D73" s="19" t="n"/>
      <c r="E73" s="19" t="n"/>
      <c r="F73" s="20" t="n"/>
      <c r="G73" s="20" t="n"/>
      <c r="H73" s="20" t="n"/>
      <c r="I73" s="21" t="n"/>
      <c r="J73" s="22" t="n"/>
      <c r="K73" s="21" t="n"/>
      <c r="L73" s="18">
        <f>IF(OR(J73="",F73="Done"),"",ROUNDDOWN(J73-NOW(),0))</f>
        <v/>
      </c>
      <c r="M73" s="18">
        <f>IF(OR(J73="",F73="Done"),"",IF(J73&lt;NOW(),"Yes","No"))</f>
        <v/>
      </c>
      <c r="N73" s="19" t="n"/>
    </row>
    <row r="74">
      <c r="A74" s="18">
        <f>IF(B74="","","T-"&amp;TEXT(ROW()-4,"000"))</f>
        <v/>
      </c>
      <c r="B74" s="19" t="n"/>
      <c r="C74" s="20" t="n"/>
      <c r="D74" s="19" t="n"/>
      <c r="E74" s="19" t="n"/>
      <c r="F74" s="20" t="n"/>
      <c r="G74" s="20" t="n"/>
      <c r="H74" s="20" t="n"/>
      <c r="I74" s="21" t="n"/>
      <c r="J74" s="22" t="n"/>
      <c r="K74" s="21" t="n"/>
      <c r="L74" s="18">
        <f>IF(OR(J74="",F74="Done"),"",ROUNDDOWN(J74-NOW(),0))</f>
        <v/>
      </c>
      <c r="M74" s="18">
        <f>IF(OR(J74="",F74="Done"),"",IF(J74&lt;NOW(),"Yes","No"))</f>
        <v/>
      </c>
      <c r="N74" s="19" t="n"/>
    </row>
    <row r="75">
      <c r="A75" s="18">
        <f>IF(B75="","","T-"&amp;TEXT(ROW()-4,"000"))</f>
        <v/>
      </c>
      <c r="B75" s="19" t="n"/>
      <c r="C75" s="20" t="n"/>
      <c r="D75" s="19" t="n"/>
      <c r="E75" s="19" t="n"/>
      <c r="F75" s="20" t="n"/>
      <c r="G75" s="20" t="n"/>
      <c r="H75" s="20" t="n"/>
      <c r="I75" s="21" t="n"/>
      <c r="J75" s="22" t="n"/>
      <c r="K75" s="21" t="n"/>
      <c r="L75" s="18">
        <f>IF(OR(J75="",F75="Done"),"",ROUNDDOWN(J75-NOW(),0))</f>
        <v/>
      </c>
      <c r="M75" s="18">
        <f>IF(OR(J75="",F75="Done"),"",IF(J75&lt;NOW(),"Yes","No"))</f>
        <v/>
      </c>
      <c r="N75" s="19" t="n"/>
    </row>
    <row r="76">
      <c r="A76" s="18">
        <f>IF(B76="","","T-"&amp;TEXT(ROW()-4,"000"))</f>
        <v/>
      </c>
      <c r="B76" s="19" t="n"/>
      <c r="C76" s="20" t="n"/>
      <c r="D76" s="19" t="n"/>
      <c r="E76" s="19" t="n"/>
      <c r="F76" s="20" t="n"/>
      <c r="G76" s="20" t="n"/>
      <c r="H76" s="20" t="n"/>
      <c r="I76" s="21" t="n"/>
      <c r="J76" s="22" t="n"/>
      <c r="K76" s="21" t="n"/>
      <c r="L76" s="18">
        <f>IF(OR(J76="",F76="Done"),"",ROUNDDOWN(J76-NOW(),0))</f>
        <v/>
      </c>
      <c r="M76" s="18">
        <f>IF(OR(J76="",F76="Done"),"",IF(J76&lt;NOW(),"Yes","No"))</f>
        <v/>
      </c>
      <c r="N76" s="19" t="n"/>
    </row>
    <row r="77">
      <c r="A77" s="18">
        <f>IF(B77="","","T-"&amp;TEXT(ROW()-4,"000"))</f>
        <v/>
      </c>
      <c r="B77" s="19" t="n"/>
      <c r="C77" s="20" t="n"/>
      <c r="D77" s="19" t="n"/>
      <c r="E77" s="19" t="n"/>
      <c r="F77" s="20" t="n"/>
      <c r="G77" s="20" t="n"/>
      <c r="H77" s="20" t="n"/>
      <c r="I77" s="21" t="n"/>
      <c r="J77" s="22" t="n"/>
      <c r="K77" s="21" t="n"/>
      <c r="L77" s="18">
        <f>IF(OR(J77="",F77="Done"),"",ROUNDDOWN(J77-NOW(),0))</f>
        <v/>
      </c>
      <c r="M77" s="18">
        <f>IF(OR(J77="",F77="Done"),"",IF(J77&lt;NOW(),"Yes","No"))</f>
        <v/>
      </c>
      <c r="N77" s="19" t="n"/>
    </row>
    <row r="78">
      <c r="A78" s="18">
        <f>IF(B78="","","T-"&amp;TEXT(ROW()-4,"000"))</f>
        <v/>
      </c>
      <c r="B78" s="19" t="n"/>
      <c r="C78" s="20" t="n"/>
      <c r="D78" s="19" t="n"/>
      <c r="E78" s="19" t="n"/>
      <c r="F78" s="20" t="n"/>
      <c r="G78" s="20" t="n"/>
      <c r="H78" s="20" t="n"/>
      <c r="I78" s="21" t="n"/>
      <c r="J78" s="22" t="n"/>
      <c r="K78" s="21" t="n"/>
      <c r="L78" s="18">
        <f>IF(OR(J78="",F78="Done"),"",ROUNDDOWN(J78-NOW(),0))</f>
        <v/>
      </c>
      <c r="M78" s="18">
        <f>IF(OR(J78="",F78="Done"),"",IF(J78&lt;NOW(),"Yes","No"))</f>
        <v/>
      </c>
      <c r="N78" s="19" t="n"/>
    </row>
    <row r="79">
      <c r="A79" s="18">
        <f>IF(B79="","","T-"&amp;TEXT(ROW()-4,"000"))</f>
        <v/>
      </c>
      <c r="B79" s="19" t="n"/>
      <c r="C79" s="20" t="n"/>
      <c r="D79" s="19" t="n"/>
      <c r="E79" s="19" t="n"/>
      <c r="F79" s="20" t="n"/>
      <c r="G79" s="20" t="n"/>
      <c r="H79" s="20" t="n"/>
      <c r="I79" s="21" t="n"/>
      <c r="J79" s="22" t="n"/>
      <c r="K79" s="21" t="n"/>
      <c r="L79" s="18">
        <f>IF(OR(J79="",F79="Done"),"",ROUNDDOWN(J79-NOW(),0))</f>
        <v/>
      </c>
      <c r="M79" s="18">
        <f>IF(OR(J79="",F79="Done"),"",IF(J79&lt;NOW(),"Yes","No"))</f>
        <v/>
      </c>
      <c r="N79" s="19" t="n"/>
    </row>
    <row r="80">
      <c r="A80" s="18">
        <f>IF(B80="","","T-"&amp;TEXT(ROW()-4,"000"))</f>
        <v/>
      </c>
      <c r="B80" s="19" t="n"/>
      <c r="C80" s="20" t="n"/>
      <c r="D80" s="19" t="n"/>
      <c r="E80" s="19" t="n"/>
      <c r="F80" s="20" t="n"/>
      <c r="G80" s="20" t="n"/>
      <c r="H80" s="20" t="n"/>
      <c r="I80" s="21" t="n"/>
      <c r="J80" s="22" t="n"/>
      <c r="K80" s="21" t="n"/>
      <c r="L80" s="18">
        <f>IF(OR(J80="",F80="Done"),"",ROUNDDOWN(J80-NOW(),0))</f>
        <v/>
      </c>
      <c r="M80" s="18">
        <f>IF(OR(J80="",F80="Done"),"",IF(J80&lt;NOW(),"Yes","No"))</f>
        <v/>
      </c>
      <c r="N80" s="19" t="n"/>
    </row>
    <row r="81">
      <c r="A81" s="18">
        <f>IF(B81="","","T-"&amp;TEXT(ROW()-4,"000"))</f>
        <v/>
      </c>
      <c r="B81" s="19" t="n"/>
      <c r="C81" s="20" t="n"/>
      <c r="D81" s="19" t="n"/>
      <c r="E81" s="19" t="n"/>
      <c r="F81" s="20" t="n"/>
      <c r="G81" s="20" t="n"/>
      <c r="H81" s="20" t="n"/>
      <c r="I81" s="21" t="n"/>
      <c r="J81" s="22" t="n"/>
      <c r="K81" s="21" t="n"/>
      <c r="L81" s="18">
        <f>IF(OR(J81="",F81="Done"),"",ROUNDDOWN(J81-NOW(),0))</f>
        <v/>
      </c>
      <c r="M81" s="18">
        <f>IF(OR(J81="",F81="Done"),"",IF(J81&lt;NOW(),"Yes","No"))</f>
        <v/>
      </c>
      <c r="N81" s="19" t="n"/>
    </row>
    <row r="82">
      <c r="A82" s="18">
        <f>IF(B82="","","T-"&amp;TEXT(ROW()-4,"000"))</f>
        <v/>
      </c>
      <c r="B82" s="19" t="n"/>
      <c r="C82" s="20" t="n"/>
      <c r="D82" s="19" t="n"/>
      <c r="E82" s="19" t="n"/>
      <c r="F82" s="20" t="n"/>
      <c r="G82" s="20" t="n"/>
      <c r="H82" s="20" t="n"/>
      <c r="I82" s="21" t="n"/>
      <c r="J82" s="22" t="n"/>
      <c r="K82" s="21" t="n"/>
      <c r="L82" s="18">
        <f>IF(OR(J82="",F82="Done"),"",ROUNDDOWN(J82-NOW(),0))</f>
        <v/>
      </c>
      <c r="M82" s="18">
        <f>IF(OR(J82="",F82="Done"),"",IF(J82&lt;NOW(),"Yes","No"))</f>
        <v/>
      </c>
      <c r="N82" s="19" t="n"/>
    </row>
    <row r="83">
      <c r="A83" s="18">
        <f>IF(B83="","","T-"&amp;TEXT(ROW()-4,"000"))</f>
        <v/>
      </c>
      <c r="B83" s="19" t="n"/>
      <c r="C83" s="20" t="n"/>
      <c r="D83" s="19" t="n"/>
      <c r="E83" s="19" t="n"/>
      <c r="F83" s="20" t="n"/>
      <c r="G83" s="20" t="n"/>
      <c r="H83" s="20" t="n"/>
      <c r="I83" s="21" t="n"/>
      <c r="J83" s="22" t="n"/>
      <c r="K83" s="21" t="n"/>
      <c r="L83" s="18">
        <f>IF(OR(J83="",F83="Done"),"",ROUNDDOWN(J83-NOW(),0))</f>
        <v/>
      </c>
      <c r="M83" s="18">
        <f>IF(OR(J83="",F83="Done"),"",IF(J83&lt;NOW(),"Yes","No"))</f>
        <v/>
      </c>
      <c r="N83" s="19" t="n"/>
    </row>
    <row r="84">
      <c r="A84" s="18">
        <f>IF(B84="","","T-"&amp;TEXT(ROW()-4,"000"))</f>
        <v/>
      </c>
      <c r="B84" s="19" t="n"/>
      <c r="C84" s="20" t="n"/>
      <c r="D84" s="19" t="n"/>
      <c r="E84" s="19" t="n"/>
      <c r="F84" s="20" t="n"/>
      <c r="G84" s="20" t="n"/>
      <c r="H84" s="20" t="n"/>
      <c r="I84" s="21" t="n"/>
      <c r="J84" s="22" t="n"/>
      <c r="K84" s="21" t="n"/>
      <c r="L84" s="18">
        <f>IF(OR(J84="",F84="Done"),"",ROUNDDOWN(J84-NOW(),0))</f>
        <v/>
      </c>
      <c r="M84" s="18">
        <f>IF(OR(J84="",F84="Done"),"",IF(J84&lt;NOW(),"Yes","No"))</f>
        <v/>
      </c>
      <c r="N84" s="19" t="n"/>
    </row>
    <row r="85">
      <c r="A85" s="18">
        <f>IF(B85="","","T-"&amp;TEXT(ROW()-4,"000"))</f>
        <v/>
      </c>
      <c r="B85" s="19" t="n"/>
      <c r="C85" s="20" t="n"/>
      <c r="D85" s="19" t="n"/>
      <c r="E85" s="19" t="n"/>
      <c r="F85" s="20" t="n"/>
      <c r="G85" s="20" t="n"/>
      <c r="H85" s="20" t="n"/>
      <c r="I85" s="21" t="n"/>
      <c r="J85" s="22" t="n"/>
      <c r="K85" s="21" t="n"/>
      <c r="L85" s="18">
        <f>IF(OR(J85="",F85="Done"),"",ROUNDDOWN(J85-NOW(),0))</f>
        <v/>
      </c>
      <c r="M85" s="18">
        <f>IF(OR(J85="",F85="Done"),"",IF(J85&lt;NOW(),"Yes","No"))</f>
        <v/>
      </c>
      <c r="N85" s="19" t="n"/>
    </row>
    <row r="86">
      <c r="A86" s="18">
        <f>IF(B86="","","T-"&amp;TEXT(ROW()-4,"000"))</f>
        <v/>
      </c>
      <c r="B86" s="19" t="n"/>
      <c r="C86" s="20" t="n"/>
      <c r="D86" s="19" t="n"/>
      <c r="E86" s="19" t="n"/>
      <c r="F86" s="20" t="n"/>
      <c r="G86" s="20" t="n"/>
      <c r="H86" s="20" t="n"/>
      <c r="I86" s="21" t="n"/>
      <c r="J86" s="22" t="n"/>
      <c r="K86" s="21" t="n"/>
      <c r="L86" s="18">
        <f>IF(OR(J86="",F86="Done"),"",ROUNDDOWN(J86-NOW(),0))</f>
        <v/>
      </c>
      <c r="M86" s="18">
        <f>IF(OR(J86="",F86="Done"),"",IF(J86&lt;NOW(),"Yes","No"))</f>
        <v/>
      </c>
      <c r="N86" s="19" t="n"/>
    </row>
    <row r="87">
      <c r="A87" s="18">
        <f>IF(B87="","","T-"&amp;TEXT(ROW()-4,"000"))</f>
        <v/>
      </c>
      <c r="B87" s="19" t="n"/>
      <c r="C87" s="20" t="n"/>
      <c r="D87" s="19" t="n"/>
      <c r="E87" s="19" t="n"/>
      <c r="F87" s="20" t="n"/>
      <c r="G87" s="20" t="n"/>
      <c r="H87" s="20" t="n"/>
      <c r="I87" s="21" t="n"/>
      <c r="J87" s="22" t="n"/>
      <c r="K87" s="21" t="n"/>
      <c r="L87" s="18">
        <f>IF(OR(J87="",F87="Done"),"",ROUNDDOWN(J87-NOW(),0))</f>
        <v/>
      </c>
      <c r="M87" s="18">
        <f>IF(OR(J87="",F87="Done"),"",IF(J87&lt;NOW(),"Yes","No"))</f>
        <v/>
      </c>
      <c r="N87" s="19" t="n"/>
    </row>
    <row r="88">
      <c r="A88" s="18">
        <f>IF(B88="","","T-"&amp;TEXT(ROW()-4,"000"))</f>
        <v/>
      </c>
      <c r="B88" s="19" t="n"/>
      <c r="C88" s="20" t="n"/>
      <c r="D88" s="19" t="n"/>
      <c r="E88" s="19" t="n"/>
      <c r="F88" s="20" t="n"/>
      <c r="G88" s="20" t="n"/>
      <c r="H88" s="20" t="n"/>
      <c r="I88" s="21" t="n"/>
      <c r="J88" s="22" t="n"/>
      <c r="K88" s="21" t="n"/>
      <c r="L88" s="18">
        <f>IF(OR(J88="",F88="Done"),"",ROUNDDOWN(J88-NOW(),0))</f>
        <v/>
      </c>
      <c r="M88" s="18">
        <f>IF(OR(J88="",F88="Done"),"",IF(J88&lt;NOW(),"Yes","No"))</f>
        <v/>
      </c>
      <c r="N88" s="19" t="n"/>
    </row>
    <row r="89">
      <c r="A89" s="18">
        <f>IF(B89="","","T-"&amp;TEXT(ROW()-4,"000"))</f>
        <v/>
      </c>
      <c r="B89" s="19" t="n"/>
      <c r="C89" s="20" t="n"/>
      <c r="D89" s="19" t="n"/>
      <c r="E89" s="19" t="n"/>
      <c r="F89" s="20" t="n"/>
      <c r="G89" s="20" t="n"/>
      <c r="H89" s="20" t="n"/>
      <c r="I89" s="21" t="n"/>
      <c r="J89" s="22" t="n"/>
      <c r="K89" s="21" t="n"/>
      <c r="L89" s="18">
        <f>IF(OR(J89="",F89="Done"),"",ROUNDDOWN(J89-NOW(),0))</f>
        <v/>
      </c>
      <c r="M89" s="18">
        <f>IF(OR(J89="",F89="Done"),"",IF(J89&lt;NOW(),"Yes","No"))</f>
        <v/>
      </c>
      <c r="N89" s="19" t="n"/>
    </row>
    <row r="90">
      <c r="A90" s="18">
        <f>IF(B90="","","T-"&amp;TEXT(ROW()-4,"000"))</f>
        <v/>
      </c>
      <c r="B90" s="19" t="n"/>
      <c r="C90" s="20" t="n"/>
      <c r="D90" s="19" t="n"/>
      <c r="E90" s="19" t="n"/>
      <c r="F90" s="20" t="n"/>
      <c r="G90" s="20" t="n"/>
      <c r="H90" s="20" t="n"/>
      <c r="I90" s="21" t="n"/>
      <c r="J90" s="22" t="n"/>
      <c r="K90" s="21" t="n"/>
      <c r="L90" s="18">
        <f>IF(OR(J90="",F90="Done"),"",ROUNDDOWN(J90-NOW(),0))</f>
        <v/>
      </c>
      <c r="M90" s="18">
        <f>IF(OR(J90="",F90="Done"),"",IF(J90&lt;NOW(),"Yes","No"))</f>
        <v/>
      </c>
      <c r="N90" s="19" t="n"/>
    </row>
    <row r="91">
      <c r="A91" s="18">
        <f>IF(B91="","","T-"&amp;TEXT(ROW()-4,"000"))</f>
        <v/>
      </c>
      <c r="B91" s="19" t="n"/>
      <c r="C91" s="20" t="n"/>
      <c r="D91" s="19" t="n"/>
      <c r="E91" s="19" t="n"/>
      <c r="F91" s="20" t="n"/>
      <c r="G91" s="20" t="n"/>
      <c r="H91" s="20" t="n"/>
      <c r="I91" s="21" t="n"/>
      <c r="J91" s="22" t="n"/>
      <c r="K91" s="21" t="n"/>
      <c r="L91" s="18">
        <f>IF(OR(J91="",F91="Done"),"",ROUNDDOWN(J91-NOW(),0))</f>
        <v/>
      </c>
      <c r="M91" s="18">
        <f>IF(OR(J91="",F91="Done"),"",IF(J91&lt;NOW(),"Yes","No"))</f>
        <v/>
      </c>
      <c r="N91" s="19" t="n"/>
    </row>
    <row r="92">
      <c r="A92" s="18">
        <f>IF(B92="","","T-"&amp;TEXT(ROW()-4,"000"))</f>
        <v/>
      </c>
      <c r="B92" s="19" t="n"/>
      <c r="C92" s="20" t="n"/>
      <c r="D92" s="19" t="n"/>
      <c r="E92" s="19" t="n"/>
      <c r="F92" s="20" t="n"/>
      <c r="G92" s="20" t="n"/>
      <c r="H92" s="20" t="n"/>
      <c r="I92" s="21" t="n"/>
      <c r="J92" s="22" t="n"/>
      <c r="K92" s="21" t="n"/>
      <c r="L92" s="18">
        <f>IF(OR(J92="",F92="Done"),"",ROUNDDOWN(J92-NOW(),0))</f>
        <v/>
      </c>
      <c r="M92" s="18">
        <f>IF(OR(J92="",F92="Done"),"",IF(J92&lt;NOW(),"Yes","No"))</f>
        <v/>
      </c>
      <c r="N92" s="19" t="n"/>
    </row>
    <row r="93">
      <c r="A93" s="18">
        <f>IF(B93="","","T-"&amp;TEXT(ROW()-4,"000"))</f>
        <v/>
      </c>
      <c r="B93" s="19" t="n"/>
      <c r="C93" s="20" t="n"/>
      <c r="D93" s="19" t="n"/>
      <c r="E93" s="19" t="n"/>
      <c r="F93" s="20" t="n"/>
      <c r="G93" s="20" t="n"/>
      <c r="H93" s="20" t="n"/>
      <c r="I93" s="21" t="n"/>
      <c r="J93" s="22" t="n"/>
      <c r="K93" s="21" t="n"/>
      <c r="L93" s="18">
        <f>IF(OR(J93="",F93="Done"),"",ROUNDDOWN(J93-NOW(),0))</f>
        <v/>
      </c>
      <c r="M93" s="18">
        <f>IF(OR(J93="",F93="Done"),"",IF(J93&lt;NOW(),"Yes","No"))</f>
        <v/>
      </c>
      <c r="N93" s="19" t="n"/>
    </row>
    <row r="94">
      <c r="A94" s="18">
        <f>IF(B94="","","T-"&amp;TEXT(ROW()-4,"000"))</f>
        <v/>
      </c>
      <c r="B94" s="19" t="n"/>
      <c r="C94" s="20" t="n"/>
      <c r="D94" s="19" t="n"/>
      <c r="E94" s="19" t="n"/>
      <c r="F94" s="20" t="n"/>
      <c r="G94" s="20" t="n"/>
      <c r="H94" s="20" t="n"/>
      <c r="I94" s="21" t="n"/>
      <c r="J94" s="22" t="n"/>
      <c r="K94" s="21" t="n"/>
      <c r="L94" s="18">
        <f>IF(OR(J94="",F94="Done"),"",ROUNDDOWN(J94-NOW(),0))</f>
        <v/>
      </c>
      <c r="M94" s="18">
        <f>IF(OR(J94="",F94="Done"),"",IF(J94&lt;NOW(),"Yes","No"))</f>
        <v/>
      </c>
      <c r="N94" s="19" t="n"/>
    </row>
    <row r="95">
      <c r="A95" s="18">
        <f>IF(B95="","","T-"&amp;TEXT(ROW()-4,"000"))</f>
        <v/>
      </c>
      <c r="B95" s="19" t="n"/>
      <c r="C95" s="20" t="n"/>
      <c r="D95" s="19" t="n"/>
      <c r="E95" s="19" t="n"/>
      <c r="F95" s="20" t="n"/>
      <c r="G95" s="20" t="n"/>
      <c r="H95" s="20" t="n"/>
      <c r="I95" s="21" t="n"/>
      <c r="J95" s="22" t="n"/>
      <c r="K95" s="21" t="n"/>
      <c r="L95" s="18">
        <f>IF(OR(J95="",F95="Done"),"",ROUNDDOWN(J95-NOW(),0))</f>
        <v/>
      </c>
      <c r="M95" s="18">
        <f>IF(OR(J95="",F95="Done"),"",IF(J95&lt;NOW(),"Yes","No"))</f>
        <v/>
      </c>
      <c r="N95" s="19" t="n"/>
    </row>
    <row r="96">
      <c r="A96" s="18">
        <f>IF(B96="","","T-"&amp;TEXT(ROW()-4,"000"))</f>
        <v/>
      </c>
      <c r="B96" s="19" t="n"/>
      <c r="C96" s="20" t="n"/>
      <c r="D96" s="19" t="n"/>
      <c r="E96" s="19" t="n"/>
      <c r="F96" s="20" t="n"/>
      <c r="G96" s="20" t="n"/>
      <c r="H96" s="20" t="n"/>
      <c r="I96" s="21" t="n"/>
      <c r="J96" s="22" t="n"/>
      <c r="K96" s="21" t="n"/>
      <c r="L96" s="18">
        <f>IF(OR(J96="",F96="Done"),"",ROUNDDOWN(J96-NOW(),0))</f>
        <v/>
      </c>
      <c r="M96" s="18">
        <f>IF(OR(J96="",F96="Done"),"",IF(J96&lt;NOW(),"Yes","No"))</f>
        <v/>
      </c>
      <c r="N96" s="19" t="n"/>
    </row>
    <row r="97">
      <c r="A97" s="18">
        <f>IF(B97="","","T-"&amp;TEXT(ROW()-4,"000"))</f>
        <v/>
      </c>
      <c r="B97" s="19" t="n"/>
      <c r="C97" s="20" t="n"/>
      <c r="D97" s="19" t="n"/>
      <c r="E97" s="19" t="n"/>
      <c r="F97" s="20" t="n"/>
      <c r="G97" s="20" t="n"/>
      <c r="H97" s="20" t="n"/>
      <c r="I97" s="21" t="n"/>
      <c r="J97" s="22" t="n"/>
      <c r="K97" s="21" t="n"/>
      <c r="L97" s="18">
        <f>IF(OR(J97="",F97="Done"),"",ROUNDDOWN(J97-NOW(),0))</f>
        <v/>
      </c>
      <c r="M97" s="18">
        <f>IF(OR(J97="",F97="Done"),"",IF(J97&lt;NOW(),"Yes","No"))</f>
        <v/>
      </c>
      <c r="N97" s="19" t="n"/>
    </row>
    <row r="98">
      <c r="A98" s="18">
        <f>IF(B98="","","T-"&amp;TEXT(ROW()-4,"000"))</f>
        <v/>
      </c>
      <c r="B98" s="19" t="n"/>
      <c r="C98" s="20" t="n"/>
      <c r="D98" s="19" t="n"/>
      <c r="E98" s="19" t="n"/>
      <c r="F98" s="20" t="n"/>
      <c r="G98" s="20" t="n"/>
      <c r="H98" s="20" t="n"/>
      <c r="I98" s="21" t="n"/>
      <c r="J98" s="22" t="n"/>
      <c r="K98" s="21" t="n"/>
      <c r="L98" s="18">
        <f>IF(OR(J98="",F98="Done"),"",ROUNDDOWN(J98-NOW(),0))</f>
        <v/>
      </c>
      <c r="M98" s="18">
        <f>IF(OR(J98="",F98="Done"),"",IF(J98&lt;NOW(),"Yes","No"))</f>
        <v/>
      </c>
      <c r="N98" s="19" t="n"/>
    </row>
    <row r="99">
      <c r="A99" s="18">
        <f>IF(B99="","","T-"&amp;TEXT(ROW()-4,"000"))</f>
        <v/>
      </c>
      <c r="B99" s="19" t="n"/>
      <c r="C99" s="20" t="n"/>
      <c r="D99" s="19" t="n"/>
      <c r="E99" s="19" t="n"/>
      <c r="F99" s="20" t="n"/>
      <c r="G99" s="20" t="n"/>
      <c r="H99" s="20" t="n"/>
      <c r="I99" s="21" t="n"/>
      <c r="J99" s="22" t="n"/>
      <c r="K99" s="21" t="n"/>
      <c r="L99" s="18">
        <f>IF(OR(J99="",F99="Done"),"",ROUNDDOWN(J99-NOW(),0))</f>
        <v/>
      </c>
      <c r="M99" s="18">
        <f>IF(OR(J99="",F99="Done"),"",IF(J99&lt;NOW(),"Yes","No"))</f>
        <v/>
      </c>
      <c r="N99" s="19" t="n"/>
    </row>
    <row r="100">
      <c r="A100" s="18">
        <f>IF(B100="","","T-"&amp;TEXT(ROW()-4,"000"))</f>
        <v/>
      </c>
      <c r="B100" s="19" t="n"/>
      <c r="C100" s="20" t="n"/>
      <c r="D100" s="19" t="n"/>
      <c r="E100" s="19" t="n"/>
      <c r="F100" s="20" t="n"/>
      <c r="G100" s="20" t="n"/>
      <c r="H100" s="20" t="n"/>
      <c r="I100" s="21" t="n"/>
      <c r="J100" s="22" t="n"/>
      <c r="K100" s="21" t="n"/>
      <c r="L100" s="18">
        <f>IF(OR(J100="",F100="Done"),"",ROUNDDOWN(J100-NOW(),0))</f>
        <v/>
      </c>
      <c r="M100" s="18">
        <f>IF(OR(J100="",F100="Done"),"",IF(J100&lt;NOW(),"Yes","No"))</f>
        <v/>
      </c>
      <c r="N100" s="19" t="n"/>
    </row>
    <row r="101">
      <c r="A101" s="18">
        <f>IF(B101="","","T-"&amp;TEXT(ROW()-4,"000"))</f>
        <v/>
      </c>
      <c r="B101" s="19" t="n"/>
      <c r="C101" s="20" t="n"/>
      <c r="D101" s="19" t="n"/>
      <c r="E101" s="19" t="n"/>
      <c r="F101" s="20" t="n"/>
      <c r="G101" s="20" t="n"/>
      <c r="H101" s="20" t="n"/>
      <c r="I101" s="21" t="n"/>
      <c r="J101" s="22" t="n"/>
      <c r="K101" s="21" t="n"/>
      <c r="L101" s="18">
        <f>IF(OR(J101="",F101="Done"),"",ROUNDDOWN(J101-NOW(),0))</f>
        <v/>
      </c>
      <c r="M101" s="18">
        <f>IF(OR(J101="",F101="Done"),"",IF(J101&lt;NOW(),"Yes","No"))</f>
        <v/>
      </c>
      <c r="N101" s="19" t="n"/>
    </row>
    <row r="102">
      <c r="A102" s="18">
        <f>IF(B102="","","T-"&amp;TEXT(ROW()-4,"000"))</f>
        <v/>
      </c>
      <c r="B102" s="19" t="n"/>
      <c r="C102" s="20" t="n"/>
      <c r="D102" s="19" t="n"/>
      <c r="E102" s="19" t="n"/>
      <c r="F102" s="20" t="n"/>
      <c r="G102" s="20" t="n"/>
      <c r="H102" s="20" t="n"/>
      <c r="I102" s="21" t="n"/>
      <c r="J102" s="22" t="n"/>
      <c r="K102" s="21" t="n"/>
      <c r="L102" s="18">
        <f>IF(OR(J102="",F102="Done"),"",ROUNDDOWN(J102-NOW(),0))</f>
        <v/>
      </c>
      <c r="M102" s="18">
        <f>IF(OR(J102="",F102="Done"),"",IF(J102&lt;NOW(),"Yes","No"))</f>
        <v/>
      </c>
      <c r="N102" s="19" t="n"/>
    </row>
    <row r="103">
      <c r="A103" s="18">
        <f>IF(B103="","","T-"&amp;TEXT(ROW()-4,"000"))</f>
        <v/>
      </c>
      <c r="B103" s="19" t="n"/>
      <c r="C103" s="20" t="n"/>
      <c r="D103" s="19" t="n"/>
      <c r="E103" s="19" t="n"/>
      <c r="F103" s="20" t="n"/>
      <c r="G103" s="20" t="n"/>
      <c r="H103" s="20" t="n"/>
      <c r="I103" s="21" t="n"/>
      <c r="J103" s="22" t="n"/>
      <c r="K103" s="21" t="n"/>
      <c r="L103" s="18">
        <f>IF(OR(J103="",F103="Done"),"",ROUNDDOWN(J103-NOW(),0))</f>
        <v/>
      </c>
      <c r="M103" s="18">
        <f>IF(OR(J103="",F103="Done"),"",IF(J103&lt;NOW(),"Yes","No"))</f>
        <v/>
      </c>
      <c r="N103" s="19" t="n"/>
    </row>
    <row r="104">
      <c r="A104" s="18">
        <f>IF(B104="","","T-"&amp;TEXT(ROW()-4,"000"))</f>
        <v/>
      </c>
      <c r="B104" s="19" t="n"/>
      <c r="C104" s="20" t="n"/>
      <c r="D104" s="19" t="n"/>
      <c r="E104" s="19" t="n"/>
      <c r="F104" s="20" t="n"/>
      <c r="G104" s="20" t="n"/>
      <c r="H104" s="20" t="n"/>
      <c r="I104" s="21" t="n"/>
      <c r="J104" s="22" t="n"/>
      <c r="K104" s="21" t="n"/>
      <c r="L104" s="18">
        <f>IF(OR(J104="",F104="Done"),"",ROUNDDOWN(J104-NOW(),0))</f>
        <v/>
      </c>
      <c r="M104" s="18">
        <f>IF(OR(J104="",F104="Done"),"",IF(J104&lt;NOW(),"Yes","No"))</f>
        <v/>
      </c>
      <c r="N104" s="19" t="n"/>
    </row>
    <row r="105">
      <c r="A105" s="18">
        <f>IF(B105="","","T-"&amp;TEXT(ROW()-4,"000"))</f>
        <v/>
      </c>
      <c r="B105" s="19" t="n"/>
      <c r="C105" s="20" t="n"/>
      <c r="D105" s="19" t="n"/>
      <c r="E105" s="19" t="n"/>
      <c r="F105" s="20" t="n"/>
      <c r="G105" s="20" t="n"/>
      <c r="H105" s="20" t="n"/>
      <c r="I105" s="21" t="n"/>
      <c r="J105" s="22" t="n"/>
      <c r="K105" s="21" t="n"/>
      <c r="L105" s="18">
        <f>IF(OR(J105="",F105="Done"),"",ROUNDDOWN(J105-NOW(),0))</f>
        <v/>
      </c>
      <c r="M105" s="18">
        <f>IF(OR(J105="",F105="Done"),"",IF(J105&lt;NOW(),"Yes","No"))</f>
        <v/>
      </c>
      <c r="N105" s="19" t="n"/>
    </row>
    <row r="106">
      <c r="A106" s="18">
        <f>IF(B106="","","T-"&amp;TEXT(ROW()-4,"000"))</f>
        <v/>
      </c>
      <c r="B106" s="19" t="n"/>
      <c r="C106" s="20" t="n"/>
      <c r="D106" s="19" t="n"/>
      <c r="E106" s="19" t="n"/>
      <c r="F106" s="20" t="n"/>
      <c r="G106" s="20" t="n"/>
      <c r="H106" s="20" t="n"/>
      <c r="I106" s="21" t="n"/>
      <c r="J106" s="22" t="n"/>
      <c r="K106" s="21" t="n"/>
      <c r="L106" s="18">
        <f>IF(OR(J106="",F106="Done"),"",ROUNDDOWN(J106-NOW(),0))</f>
        <v/>
      </c>
      <c r="M106" s="18">
        <f>IF(OR(J106="",F106="Done"),"",IF(J106&lt;NOW(),"Yes","No"))</f>
        <v/>
      </c>
      <c r="N106" s="19" t="n"/>
    </row>
    <row r="107">
      <c r="A107" s="18">
        <f>IF(B107="","","T-"&amp;TEXT(ROW()-4,"000"))</f>
        <v/>
      </c>
      <c r="B107" s="19" t="n"/>
      <c r="C107" s="20" t="n"/>
      <c r="D107" s="19" t="n"/>
      <c r="E107" s="19" t="n"/>
      <c r="F107" s="20" t="n"/>
      <c r="G107" s="20" t="n"/>
      <c r="H107" s="20" t="n"/>
      <c r="I107" s="21" t="n"/>
      <c r="J107" s="22" t="n"/>
      <c r="K107" s="21" t="n"/>
      <c r="L107" s="18">
        <f>IF(OR(J107="",F107="Done"),"",ROUNDDOWN(J107-NOW(),0))</f>
        <v/>
      </c>
      <c r="M107" s="18">
        <f>IF(OR(J107="",F107="Done"),"",IF(J107&lt;NOW(),"Yes","No"))</f>
        <v/>
      </c>
      <c r="N107" s="19" t="n"/>
    </row>
    <row r="108">
      <c r="A108" s="18">
        <f>IF(B108="","","T-"&amp;TEXT(ROW()-4,"000"))</f>
        <v/>
      </c>
      <c r="B108" s="19" t="n"/>
      <c r="C108" s="20" t="n"/>
      <c r="D108" s="19" t="n"/>
      <c r="E108" s="19" t="n"/>
      <c r="F108" s="20" t="n"/>
      <c r="G108" s="20" t="n"/>
      <c r="H108" s="20" t="n"/>
      <c r="I108" s="21" t="n"/>
      <c r="J108" s="22" t="n"/>
      <c r="K108" s="21" t="n"/>
      <c r="L108" s="18">
        <f>IF(OR(J108="",F108="Done"),"",ROUNDDOWN(J108-NOW(),0))</f>
        <v/>
      </c>
      <c r="M108" s="18">
        <f>IF(OR(J108="",F108="Done"),"",IF(J108&lt;NOW(),"Yes","No"))</f>
        <v/>
      </c>
      <c r="N108" s="19" t="n"/>
    </row>
    <row r="109">
      <c r="A109" s="18">
        <f>IF(B109="","","T-"&amp;TEXT(ROW()-4,"000"))</f>
        <v/>
      </c>
      <c r="B109" s="19" t="n"/>
      <c r="C109" s="20" t="n"/>
      <c r="D109" s="19" t="n"/>
      <c r="E109" s="19" t="n"/>
      <c r="F109" s="20" t="n"/>
      <c r="G109" s="20" t="n"/>
      <c r="H109" s="20" t="n"/>
      <c r="I109" s="21" t="n"/>
      <c r="J109" s="22" t="n"/>
      <c r="K109" s="21" t="n"/>
      <c r="L109" s="18">
        <f>IF(OR(J109="",F109="Done"),"",ROUNDDOWN(J109-NOW(),0))</f>
        <v/>
      </c>
      <c r="M109" s="18">
        <f>IF(OR(J109="",F109="Done"),"",IF(J109&lt;NOW(),"Yes","No"))</f>
        <v/>
      </c>
      <c r="N109" s="19" t="n"/>
    </row>
    <row r="110">
      <c r="A110" s="18">
        <f>IF(B110="","","T-"&amp;TEXT(ROW()-4,"000"))</f>
        <v/>
      </c>
      <c r="B110" s="19" t="n"/>
      <c r="C110" s="20" t="n"/>
      <c r="D110" s="19" t="n"/>
      <c r="E110" s="19" t="n"/>
      <c r="F110" s="20" t="n"/>
      <c r="G110" s="20" t="n"/>
      <c r="H110" s="20" t="n"/>
      <c r="I110" s="21" t="n"/>
      <c r="J110" s="22" t="n"/>
      <c r="K110" s="21" t="n"/>
      <c r="L110" s="18">
        <f>IF(OR(J110="",F110="Done"),"",ROUNDDOWN(J110-NOW(),0))</f>
        <v/>
      </c>
      <c r="M110" s="18">
        <f>IF(OR(J110="",F110="Done"),"",IF(J110&lt;NOW(),"Yes","No"))</f>
        <v/>
      </c>
      <c r="N110" s="19" t="n"/>
    </row>
    <row r="111">
      <c r="A111" s="18">
        <f>IF(B111="","","T-"&amp;TEXT(ROW()-4,"000"))</f>
        <v/>
      </c>
      <c r="B111" s="19" t="n"/>
      <c r="C111" s="20" t="n"/>
      <c r="D111" s="19" t="n"/>
      <c r="E111" s="19" t="n"/>
      <c r="F111" s="20" t="n"/>
      <c r="G111" s="20" t="n"/>
      <c r="H111" s="20" t="n"/>
      <c r="I111" s="21" t="n"/>
      <c r="J111" s="22" t="n"/>
      <c r="K111" s="21" t="n"/>
      <c r="L111" s="18">
        <f>IF(OR(J111="",F111="Done"),"",ROUNDDOWN(J111-NOW(),0))</f>
        <v/>
      </c>
      <c r="M111" s="18">
        <f>IF(OR(J111="",F111="Done"),"",IF(J111&lt;NOW(),"Yes","No"))</f>
        <v/>
      </c>
      <c r="N111" s="19" t="n"/>
    </row>
    <row r="112">
      <c r="A112" s="18">
        <f>IF(B112="","","T-"&amp;TEXT(ROW()-4,"000"))</f>
        <v/>
      </c>
      <c r="B112" s="19" t="n"/>
      <c r="C112" s="20" t="n"/>
      <c r="D112" s="19" t="n"/>
      <c r="E112" s="19" t="n"/>
      <c r="F112" s="20" t="n"/>
      <c r="G112" s="20" t="n"/>
      <c r="H112" s="20" t="n"/>
      <c r="I112" s="21" t="n"/>
      <c r="J112" s="22" t="n"/>
      <c r="K112" s="21" t="n"/>
      <c r="L112" s="18">
        <f>IF(OR(J112="",F112="Done"),"",ROUNDDOWN(J112-NOW(),0))</f>
        <v/>
      </c>
      <c r="M112" s="18">
        <f>IF(OR(J112="",F112="Done"),"",IF(J112&lt;NOW(),"Yes","No"))</f>
        <v/>
      </c>
      <c r="N112" s="19" t="n"/>
    </row>
    <row r="113">
      <c r="A113" s="18">
        <f>IF(B113="","","T-"&amp;TEXT(ROW()-4,"000"))</f>
        <v/>
      </c>
      <c r="B113" s="19" t="n"/>
      <c r="C113" s="20" t="n"/>
      <c r="D113" s="19" t="n"/>
      <c r="E113" s="19" t="n"/>
      <c r="F113" s="20" t="n"/>
      <c r="G113" s="20" t="n"/>
      <c r="H113" s="20" t="n"/>
      <c r="I113" s="21" t="n"/>
      <c r="J113" s="22" t="n"/>
      <c r="K113" s="21" t="n"/>
      <c r="L113" s="18">
        <f>IF(OR(J113="",F113="Done"),"",ROUNDDOWN(J113-NOW(),0))</f>
        <v/>
      </c>
      <c r="M113" s="18">
        <f>IF(OR(J113="",F113="Done"),"",IF(J113&lt;NOW(),"Yes","No"))</f>
        <v/>
      </c>
      <c r="N113" s="19" t="n"/>
    </row>
    <row r="114">
      <c r="A114" s="18">
        <f>IF(B114="","","T-"&amp;TEXT(ROW()-4,"000"))</f>
        <v/>
      </c>
      <c r="B114" s="19" t="n"/>
      <c r="C114" s="20" t="n"/>
      <c r="D114" s="19" t="n"/>
      <c r="E114" s="19" t="n"/>
      <c r="F114" s="20" t="n"/>
      <c r="G114" s="20" t="n"/>
      <c r="H114" s="20" t="n"/>
      <c r="I114" s="21" t="n"/>
      <c r="J114" s="22" t="n"/>
      <c r="K114" s="21" t="n"/>
      <c r="L114" s="18">
        <f>IF(OR(J114="",F114="Done"),"",ROUNDDOWN(J114-NOW(),0))</f>
        <v/>
      </c>
      <c r="M114" s="18">
        <f>IF(OR(J114="",F114="Done"),"",IF(J114&lt;NOW(),"Yes","No"))</f>
        <v/>
      </c>
      <c r="N114" s="19" t="n"/>
    </row>
    <row r="115">
      <c r="A115" s="18">
        <f>IF(B115="","","T-"&amp;TEXT(ROW()-4,"000"))</f>
        <v/>
      </c>
      <c r="B115" s="19" t="n"/>
      <c r="C115" s="20" t="n"/>
      <c r="D115" s="19" t="n"/>
      <c r="E115" s="19" t="n"/>
      <c r="F115" s="20" t="n"/>
      <c r="G115" s="20" t="n"/>
      <c r="H115" s="20" t="n"/>
      <c r="I115" s="21" t="n"/>
      <c r="J115" s="22" t="n"/>
      <c r="K115" s="21" t="n"/>
      <c r="L115" s="18">
        <f>IF(OR(J115="",F115="Done"),"",ROUNDDOWN(J115-NOW(),0))</f>
        <v/>
      </c>
      <c r="M115" s="18">
        <f>IF(OR(J115="",F115="Done"),"",IF(J115&lt;NOW(),"Yes","No"))</f>
        <v/>
      </c>
      <c r="N115" s="19" t="n"/>
    </row>
    <row r="116">
      <c r="A116" s="18">
        <f>IF(B116="","","T-"&amp;TEXT(ROW()-4,"000"))</f>
        <v/>
      </c>
      <c r="B116" s="19" t="n"/>
      <c r="C116" s="20" t="n"/>
      <c r="D116" s="19" t="n"/>
      <c r="E116" s="19" t="n"/>
      <c r="F116" s="20" t="n"/>
      <c r="G116" s="20" t="n"/>
      <c r="H116" s="20" t="n"/>
      <c r="I116" s="21" t="n"/>
      <c r="J116" s="22" t="n"/>
      <c r="K116" s="21" t="n"/>
      <c r="L116" s="18">
        <f>IF(OR(J116="",F116="Done"),"",ROUNDDOWN(J116-NOW(),0))</f>
        <v/>
      </c>
      <c r="M116" s="18">
        <f>IF(OR(J116="",F116="Done"),"",IF(J116&lt;NOW(),"Yes","No"))</f>
        <v/>
      </c>
      <c r="N116" s="19" t="n"/>
    </row>
    <row r="117">
      <c r="A117" s="18">
        <f>IF(B117="","","T-"&amp;TEXT(ROW()-4,"000"))</f>
        <v/>
      </c>
      <c r="B117" s="19" t="n"/>
      <c r="C117" s="20" t="n"/>
      <c r="D117" s="19" t="n"/>
      <c r="E117" s="19" t="n"/>
      <c r="F117" s="20" t="n"/>
      <c r="G117" s="20" t="n"/>
      <c r="H117" s="20" t="n"/>
      <c r="I117" s="21" t="n"/>
      <c r="J117" s="22" t="n"/>
      <c r="K117" s="21" t="n"/>
      <c r="L117" s="18">
        <f>IF(OR(J117="",F117="Done"),"",ROUNDDOWN(J117-NOW(),0))</f>
        <v/>
      </c>
      <c r="M117" s="18">
        <f>IF(OR(J117="",F117="Done"),"",IF(J117&lt;NOW(),"Yes","No"))</f>
        <v/>
      </c>
      <c r="N117" s="19" t="n"/>
    </row>
    <row r="118">
      <c r="A118" s="18">
        <f>IF(B118="","","T-"&amp;TEXT(ROW()-4,"000"))</f>
        <v/>
      </c>
      <c r="B118" s="19" t="n"/>
      <c r="C118" s="20" t="n"/>
      <c r="D118" s="19" t="n"/>
      <c r="E118" s="19" t="n"/>
      <c r="F118" s="20" t="n"/>
      <c r="G118" s="20" t="n"/>
      <c r="H118" s="20" t="n"/>
      <c r="I118" s="21" t="n"/>
      <c r="J118" s="22" t="n"/>
      <c r="K118" s="21" t="n"/>
      <c r="L118" s="18">
        <f>IF(OR(J118="",F118="Done"),"",ROUNDDOWN(J118-NOW(),0))</f>
        <v/>
      </c>
      <c r="M118" s="18">
        <f>IF(OR(J118="",F118="Done"),"",IF(J118&lt;NOW(),"Yes","No"))</f>
        <v/>
      </c>
      <c r="N118" s="19" t="n"/>
    </row>
    <row r="119">
      <c r="A119" s="18">
        <f>IF(B119="","","T-"&amp;TEXT(ROW()-4,"000"))</f>
        <v/>
      </c>
      <c r="B119" s="19" t="n"/>
      <c r="C119" s="20" t="n"/>
      <c r="D119" s="19" t="n"/>
      <c r="E119" s="19" t="n"/>
      <c r="F119" s="20" t="n"/>
      <c r="G119" s="20" t="n"/>
      <c r="H119" s="20" t="n"/>
      <c r="I119" s="21" t="n"/>
      <c r="J119" s="22" t="n"/>
      <c r="K119" s="21" t="n"/>
      <c r="L119" s="18">
        <f>IF(OR(J119="",F119="Done"),"",ROUNDDOWN(J119-NOW(),0))</f>
        <v/>
      </c>
      <c r="M119" s="18">
        <f>IF(OR(J119="",F119="Done"),"",IF(J119&lt;NOW(),"Yes","No"))</f>
        <v/>
      </c>
      <c r="N119" s="19" t="n"/>
    </row>
    <row r="120">
      <c r="A120" s="18">
        <f>IF(B120="","","T-"&amp;TEXT(ROW()-4,"000"))</f>
        <v/>
      </c>
      <c r="B120" s="19" t="n"/>
      <c r="C120" s="20" t="n"/>
      <c r="D120" s="19" t="n"/>
      <c r="E120" s="19" t="n"/>
      <c r="F120" s="20" t="n"/>
      <c r="G120" s="20" t="n"/>
      <c r="H120" s="20" t="n"/>
      <c r="I120" s="21" t="n"/>
      <c r="J120" s="22" t="n"/>
      <c r="K120" s="21" t="n"/>
      <c r="L120" s="18">
        <f>IF(OR(J120="",F120="Done"),"",ROUNDDOWN(J120-NOW(),0))</f>
        <v/>
      </c>
      <c r="M120" s="18">
        <f>IF(OR(J120="",F120="Done"),"",IF(J120&lt;NOW(),"Yes","No"))</f>
        <v/>
      </c>
      <c r="N120" s="19" t="n"/>
    </row>
    <row r="121">
      <c r="A121" s="18">
        <f>IF(B121="","","T-"&amp;TEXT(ROW()-4,"000"))</f>
        <v/>
      </c>
      <c r="B121" s="19" t="n"/>
      <c r="C121" s="20" t="n"/>
      <c r="D121" s="19" t="n"/>
      <c r="E121" s="19" t="n"/>
      <c r="F121" s="20" t="n"/>
      <c r="G121" s="20" t="n"/>
      <c r="H121" s="20" t="n"/>
      <c r="I121" s="21" t="n"/>
      <c r="J121" s="22" t="n"/>
      <c r="K121" s="21" t="n"/>
      <c r="L121" s="18">
        <f>IF(OR(J121="",F121="Done"),"",ROUNDDOWN(J121-NOW(),0))</f>
        <v/>
      </c>
      <c r="M121" s="18">
        <f>IF(OR(J121="",F121="Done"),"",IF(J121&lt;NOW(),"Yes","No"))</f>
        <v/>
      </c>
      <c r="N121" s="19" t="n"/>
    </row>
    <row r="122">
      <c r="A122" s="18">
        <f>IF(B122="","","T-"&amp;TEXT(ROW()-4,"000"))</f>
        <v/>
      </c>
      <c r="B122" s="19" t="n"/>
      <c r="C122" s="20" t="n"/>
      <c r="D122" s="19" t="n"/>
      <c r="E122" s="19" t="n"/>
      <c r="F122" s="20" t="n"/>
      <c r="G122" s="20" t="n"/>
      <c r="H122" s="20" t="n"/>
      <c r="I122" s="21" t="n"/>
      <c r="J122" s="22" t="n"/>
      <c r="K122" s="21" t="n"/>
      <c r="L122" s="18">
        <f>IF(OR(J122="",F122="Done"),"",ROUNDDOWN(J122-NOW(),0))</f>
        <v/>
      </c>
      <c r="M122" s="18">
        <f>IF(OR(J122="",F122="Done"),"",IF(J122&lt;NOW(),"Yes","No"))</f>
        <v/>
      </c>
      <c r="N122" s="19" t="n"/>
    </row>
    <row r="123">
      <c r="A123" s="18">
        <f>IF(B123="","","T-"&amp;TEXT(ROW()-4,"000"))</f>
        <v/>
      </c>
      <c r="B123" s="19" t="n"/>
      <c r="C123" s="20" t="n"/>
      <c r="D123" s="19" t="n"/>
      <c r="E123" s="19" t="n"/>
      <c r="F123" s="20" t="n"/>
      <c r="G123" s="20" t="n"/>
      <c r="H123" s="20" t="n"/>
      <c r="I123" s="21" t="n"/>
      <c r="J123" s="22" t="n"/>
      <c r="K123" s="21" t="n"/>
      <c r="L123" s="18">
        <f>IF(OR(J123="",F123="Done"),"",ROUNDDOWN(J123-NOW(),0))</f>
        <v/>
      </c>
      <c r="M123" s="18">
        <f>IF(OR(J123="",F123="Done"),"",IF(J123&lt;NOW(),"Yes","No"))</f>
        <v/>
      </c>
      <c r="N123" s="19" t="n"/>
    </row>
    <row r="124">
      <c r="A124" s="18">
        <f>IF(B124="","","T-"&amp;TEXT(ROW()-4,"000"))</f>
        <v/>
      </c>
      <c r="B124" s="19" t="n"/>
      <c r="C124" s="20" t="n"/>
      <c r="D124" s="19" t="n"/>
      <c r="E124" s="19" t="n"/>
      <c r="F124" s="20" t="n"/>
      <c r="G124" s="20" t="n"/>
      <c r="H124" s="20" t="n"/>
      <c r="I124" s="21" t="n"/>
      <c r="J124" s="22" t="n"/>
      <c r="K124" s="21" t="n"/>
      <c r="L124" s="18">
        <f>IF(OR(J124="",F124="Done"),"",ROUNDDOWN(J124-NOW(),0))</f>
        <v/>
      </c>
      <c r="M124" s="18">
        <f>IF(OR(J124="",F124="Done"),"",IF(J124&lt;NOW(),"Yes","No"))</f>
        <v/>
      </c>
      <c r="N124" s="19" t="n"/>
    </row>
    <row r="125">
      <c r="A125" s="18">
        <f>IF(B125="","","T-"&amp;TEXT(ROW()-4,"000"))</f>
        <v/>
      </c>
      <c r="B125" s="19" t="n"/>
      <c r="C125" s="20" t="n"/>
      <c r="D125" s="19" t="n"/>
      <c r="E125" s="19" t="n"/>
      <c r="F125" s="20" t="n"/>
      <c r="G125" s="20" t="n"/>
      <c r="H125" s="20" t="n"/>
      <c r="I125" s="21" t="n"/>
      <c r="J125" s="22" t="n"/>
      <c r="K125" s="21" t="n"/>
      <c r="L125" s="18">
        <f>IF(OR(J125="",F125="Done"),"",ROUNDDOWN(J125-NOW(),0))</f>
        <v/>
      </c>
      <c r="M125" s="18">
        <f>IF(OR(J125="",F125="Done"),"",IF(J125&lt;NOW(),"Yes","No"))</f>
        <v/>
      </c>
      <c r="N125" s="19" t="n"/>
    </row>
    <row r="126">
      <c r="A126" s="18">
        <f>IF(B126="","","T-"&amp;TEXT(ROW()-4,"000"))</f>
        <v/>
      </c>
      <c r="B126" s="19" t="n"/>
      <c r="C126" s="20" t="n"/>
      <c r="D126" s="19" t="n"/>
      <c r="E126" s="19" t="n"/>
      <c r="F126" s="20" t="n"/>
      <c r="G126" s="20" t="n"/>
      <c r="H126" s="20" t="n"/>
      <c r="I126" s="21" t="n"/>
      <c r="J126" s="22" t="n"/>
      <c r="K126" s="21" t="n"/>
      <c r="L126" s="18">
        <f>IF(OR(J126="",F126="Done"),"",ROUNDDOWN(J126-NOW(),0))</f>
        <v/>
      </c>
      <c r="M126" s="18">
        <f>IF(OR(J126="",F126="Done"),"",IF(J126&lt;NOW(),"Yes","No"))</f>
        <v/>
      </c>
      <c r="N126" s="19" t="n"/>
    </row>
    <row r="127">
      <c r="A127" s="18">
        <f>IF(B127="","","T-"&amp;TEXT(ROW()-4,"000"))</f>
        <v/>
      </c>
      <c r="B127" s="19" t="n"/>
      <c r="C127" s="20" t="n"/>
      <c r="D127" s="19" t="n"/>
      <c r="E127" s="19" t="n"/>
      <c r="F127" s="20" t="n"/>
      <c r="G127" s="20" t="n"/>
      <c r="H127" s="20" t="n"/>
      <c r="I127" s="21" t="n"/>
      <c r="J127" s="22" t="n"/>
      <c r="K127" s="21" t="n"/>
      <c r="L127" s="18">
        <f>IF(OR(J127="",F127="Done"),"",ROUNDDOWN(J127-NOW(),0))</f>
        <v/>
      </c>
      <c r="M127" s="18">
        <f>IF(OR(J127="",F127="Done"),"",IF(J127&lt;NOW(),"Yes","No"))</f>
        <v/>
      </c>
      <c r="N127" s="19" t="n"/>
    </row>
    <row r="128">
      <c r="A128" s="18">
        <f>IF(B128="","","T-"&amp;TEXT(ROW()-4,"000"))</f>
        <v/>
      </c>
      <c r="B128" s="19" t="n"/>
      <c r="C128" s="20" t="n"/>
      <c r="D128" s="19" t="n"/>
      <c r="E128" s="19" t="n"/>
      <c r="F128" s="20" t="n"/>
      <c r="G128" s="20" t="n"/>
      <c r="H128" s="20" t="n"/>
      <c r="I128" s="21" t="n"/>
      <c r="J128" s="22" t="n"/>
      <c r="K128" s="21" t="n"/>
      <c r="L128" s="18">
        <f>IF(OR(J128="",F128="Done"),"",ROUNDDOWN(J128-NOW(),0))</f>
        <v/>
      </c>
      <c r="M128" s="18">
        <f>IF(OR(J128="",F128="Done"),"",IF(J128&lt;NOW(),"Yes","No"))</f>
        <v/>
      </c>
      <c r="N128" s="19" t="n"/>
    </row>
    <row r="129">
      <c r="A129" s="18">
        <f>IF(B129="","","T-"&amp;TEXT(ROW()-4,"000"))</f>
        <v/>
      </c>
      <c r="B129" s="19" t="n"/>
      <c r="C129" s="20" t="n"/>
      <c r="D129" s="19" t="n"/>
      <c r="E129" s="19" t="n"/>
      <c r="F129" s="20" t="n"/>
      <c r="G129" s="20" t="n"/>
      <c r="H129" s="20" t="n"/>
      <c r="I129" s="21" t="n"/>
      <c r="J129" s="22" t="n"/>
      <c r="K129" s="21" t="n"/>
      <c r="L129" s="18">
        <f>IF(OR(J129="",F129="Done"),"",ROUNDDOWN(J129-NOW(),0))</f>
        <v/>
      </c>
      <c r="M129" s="18">
        <f>IF(OR(J129="",F129="Done"),"",IF(J129&lt;NOW(),"Yes","No"))</f>
        <v/>
      </c>
      <c r="N129" s="19" t="n"/>
    </row>
    <row r="130">
      <c r="A130" s="18">
        <f>IF(B130="","","T-"&amp;TEXT(ROW()-4,"000"))</f>
        <v/>
      </c>
      <c r="B130" s="19" t="n"/>
      <c r="C130" s="20" t="n"/>
      <c r="D130" s="19" t="n"/>
      <c r="E130" s="19" t="n"/>
      <c r="F130" s="20" t="n"/>
      <c r="G130" s="20" t="n"/>
      <c r="H130" s="20" t="n"/>
      <c r="I130" s="21" t="n"/>
      <c r="J130" s="22" t="n"/>
      <c r="K130" s="21" t="n"/>
      <c r="L130" s="18">
        <f>IF(OR(J130="",F130="Done"),"",ROUNDDOWN(J130-NOW(),0))</f>
        <v/>
      </c>
      <c r="M130" s="18">
        <f>IF(OR(J130="",F130="Done"),"",IF(J130&lt;NOW(),"Yes","No"))</f>
        <v/>
      </c>
      <c r="N130" s="19" t="n"/>
    </row>
    <row r="131">
      <c r="A131" s="18">
        <f>IF(B131="","","T-"&amp;TEXT(ROW()-4,"000"))</f>
        <v/>
      </c>
      <c r="B131" s="19" t="n"/>
      <c r="C131" s="20" t="n"/>
      <c r="D131" s="19" t="n"/>
      <c r="E131" s="19" t="n"/>
      <c r="F131" s="20" t="n"/>
      <c r="G131" s="20" t="n"/>
      <c r="H131" s="20" t="n"/>
      <c r="I131" s="21" t="n"/>
      <c r="J131" s="22" t="n"/>
      <c r="K131" s="21" t="n"/>
      <c r="L131" s="18">
        <f>IF(OR(J131="",F131="Done"),"",ROUNDDOWN(J131-NOW(),0))</f>
        <v/>
      </c>
      <c r="M131" s="18">
        <f>IF(OR(J131="",F131="Done"),"",IF(J131&lt;NOW(),"Yes","No"))</f>
        <v/>
      </c>
      <c r="N131" s="19" t="n"/>
    </row>
    <row r="132">
      <c r="A132" s="18">
        <f>IF(B132="","","T-"&amp;TEXT(ROW()-4,"000"))</f>
        <v/>
      </c>
      <c r="B132" s="19" t="n"/>
      <c r="C132" s="20" t="n"/>
      <c r="D132" s="19" t="n"/>
      <c r="E132" s="19" t="n"/>
      <c r="F132" s="20" t="n"/>
      <c r="G132" s="20" t="n"/>
      <c r="H132" s="20" t="n"/>
      <c r="I132" s="21" t="n"/>
      <c r="J132" s="22" t="n"/>
      <c r="K132" s="21" t="n"/>
      <c r="L132" s="18">
        <f>IF(OR(J132="",F132="Done"),"",ROUNDDOWN(J132-NOW(),0))</f>
        <v/>
      </c>
      <c r="M132" s="18">
        <f>IF(OR(J132="",F132="Done"),"",IF(J132&lt;NOW(),"Yes","No"))</f>
        <v/>
      </c>
      <c r="N132" s="19" t="n"/>
    </row>
    <row r="133">
      <c r="A133" s="18">
        <f>IF(B133="","","T-"&amp;TEXT(ROW()-4,"000"))</f>
        <v/>
      </c>
      <c r="B133" s="19" t="n"/>
      <c r="C133" s="20" t="n"/>
      <c r="D133" s="19" t="n"/>
      <c r="E133" s="19" t="n"/>
      <c r="F133" s="20" t="n"/>
      <c r="G133" s="20" t="n"/>
      <c r="H133" s="20" t="n"/>
      <c r="I133" s="21" t="n"/>
      <c r="J133" s="22" t="n"/>
      <c r="K133" s="21" t="n"/>
      <c r="L133" s="18">
        <f>IF(OR(J133="",F133="Done"),"",ROUNDDOWN(J133-NOW(),0))</f>
        <v/>
      </c>
      <c r="M133" s="18">
        <f>IF(OR(J133="",F133="Done"),"",IF(J133&lt;NOW(),"Yes","No"))</f>
        <v/>
      </c>
      <c r="N133" s="19" t="n"/>
    </row>
    <row r="134">
      <c r="A134" s="18">
        <f>IF(B134="","","T-"&amp;TEXT(ROW()-4,"000"))</f>
        <v/>
      </c>
      <c r="B134" s="19" t="n"/>
      <c r="C134" s="20" t="n"/>
      <c r="D134" s="19" t="n"/>
      <c r="E134" s="19" t="n"/>
      <c r="F134" s="20" t="n"/>
      <c r="G134" s="20" t="n"/>
      <c r="H134" s="20" t="n"/>
      <c r="I134" s="21" t="n"/>
      <c r="J134" s="22" t="n"/>
      <c r="K134" s="21" t="n"/>
      <c r="L134" s="18">
        <f>IF(OR(J134="",F134="Done"),"",ROUNDDOWN(J134-NOW(),0))</f>
        <v/>
      </c>
      <c r="M134" s="18">
        <f>IF(OR(J134="",F134="Done"),"",IF(J134&lt;NOW(),"Yes","No"))</f>
        <v/>
      </c>
      <c r="N134" s="19" t="n"/>
    </row>
    <row r="135">
      <c r="A135" s="18">
        <f>IF(B135="","","T-"&amp;TEXT(ROW()-4,"000"))</f>
        <v/>
      </c>
      <c r="B135" s="19" t="n"/>
      <c r="C135" s="20" t="n"/>
      <c r="D135" s="19" t="n"/>
      <c r="E135" s="19" t="n"/>
      <c r="F135" s="20" t="n"/>
      <c r="G135" s="20" t="n"/>
      <c r="H135" s="20" t="n"/>
      <c r="I135" s="21" t="n"/>
      <c r="J135" s="22" t="n"/>
      <c r="K135" s="21" t="n"/>
      <c r="L135" s="18">
        <f>IF(OR(J135="",F135="Done"),"",ROUNDDOWN(J135-NOW(),0))</f>
        <v/>
      </c>
      <c r="M135" s="18">
        <f>IF(OR(J135="",F135="Done"),"",IF(J135&lt;NOW(),"Yes","No"))</f>
        <v/>
      </c>
      <c r="N135" s="19" t="n"/>
    </row>
    <row r="136">
      <c r="A136" s="18">
        <f>IF(B136="","","T-"&amp;TEXT(ROW()-4,"000"))</f>
        <v/>
      </c>
      <c r="B136" s="19" t="n"/>
      <c r="C136" s="20" t="n"/>
      <c r="D136" s="19" t="n"/>
      <c r="E136" s="19" t="n"/>
      <c r="F136" s="20" t="n"/>
      <c r="G136" s="20" t="n"/>
      <c r="H136" s="20" t="n"/>
      <c r="I136" s="21" t="n"/>
      <c r="J136" s="22" t="n"/>
      <c r="K136" s="21" t="n"/>
      <c r="L136" s="18">
        <f>IF(OR(J136="",F136="Done"),"",ROUNDDOWN(J136-NOW(),0))</f>
        <v/>
      </c>
      <c r="M136" s="18">
        <f>IF(OR(J136="",F136="Done"),"",IF(J136&lt;NOW(),"Yes","No"))</f>
        <v/>
      </c>
      <c r="N136" s="19" t="n"/>
    </row>
    <row r="137">
      <c r="A137" s="18">
        <f>IF(B137="","","T-"&amp;TEXT(ROW()-4,"000"))</f>
        <v/>
      </c>
      <c r="B137" s="19" t="n"/>
      <c r="C137" s="20" t="n"/>
      <c r="D137" s="19" t="n"/>
      <c r="E137" s="19" t="n"/>
      <c r="F137" s="20" t="n"/>
      <c r="G137" s="20" t="n"/>
      <c r="H137" s="20" t="n"/>
      <c r="I137" s="21" t="n"/>
      <c r="J137" s="22" t="n"/>
      <c r="K137" s="21" t="n"/>
      <c r="L137" s="18">
        <f>IF(OR(J137="",F137="Done"),"",ROUNDDOWN(J137-NOW(),0))</f>
        <v/>
      </c>
      <c r="M137" s="18">
        <f>IF(OR(J137="",F137="Done"),"",IF(J137&lt;NOW(),"Yes","No"))</f>
        <v/>
      </c>
      <c r="N137" s="19" t="n"/>
    </row>
    <row r="138">
      <c r="A138" s="18">
        <f>IF(B138="","","T-"&amp;TEXT(ROW()-4,"000"))</f>
        <v/>
      </c>
      <c r="B138" s="19" t="n"/>
      <c r="C138" s="20" t="n"/>
      <c r="D138" s="19" t="n"/>
      <c r="E138" s="19" t="n"/>
      <c r="F138" s="20" t="n"/>
      <c r="G138" s="20" t="n"/>
      <c r="H138" s="20" t="n"/>
      <c r="I138" s="21" t="n"/>
      <c r="J138" s="22" t="n"/>
      <c r="K138" s="21" t="n"/>
      <c r="L138" s="18">
        <f>IF(OR(J138="",F138="Done"),"",ROUNDDOWN(J138-NOW(),0))</f>
        <v/>
      </c>
      <c r="M138" s="18">
        <f>IF(OR(J138="",F138="Done"),"",IF(J138&lt;NOW(),"Yes","No"))</f>
        <v/>
      </c>
      <c r="N138" s="19" t="n"/>
    </row>
    <row r="139">
      <c r="A139" s="18">
        <f>IF(B139="","","T-"&amp;TEXT(ROW()-4,"000"))</f>
        <v/>
      </c>
      <c r="B139" s="19" t="n"/>
      <c r="C139" s="20" t="n"/>
      <c r="D139" s="19" t="n"/>
      <c r="E139" s="19" t="n"/>
      <c r="F139" s="20" t="n"/>
      <c r="G139" s="20" t="n"/>
      <c r="H139" s="20" t="n"/>
      <c r="I139" s="21" t="n"/>
      <c r="J139" s="22" t="n"/>
      <c r="K139" s="21" t="n"/>
      <c r="L139" s="18">
        <f>IF(OR(J139="",F139="Done"),"",ROUNDDOWN(J139-NOW(),0))</f>
        <v/>
      </c>
      <c r="M139" s="18">
        <f>IF(OR(J139="",F139="Done"),"",IF(J139&lt;NOW(),"Yes","No"))</f>
        <v/>
      </c>
      <c r="N139" s="19" t="n"/>
    </row>
    <row r="140">
      <c r="A140" s="18">
        <f>IF(B140="","","T-"&amp;TEXT(ROW()-4,"000"))</f>
        <v/>
      </c>
      <c r="B140" s="19" t="n"/>
      <c r="C140" s="20" t="n"/>
      <c r="D140" s="19" t="n"/>
      <c r="E140" s="19" t="n"/>
      <c r="F140" s="20" t="n"/>
      <c r="G140" s="20" t="n"/>
      <c r="H140" s="20" t="n"/>
      <c r="I140" s="21" t="n"/>
      <c r="J140" s="22" t="n"/>
      <c r="K140" s="21" t="n"/>
      <c r="L140" s="18">
        <f>IF(OR(J140="",F140="Done"),"",ROUNDDOWN(J140-NOW(),0))</f>
        <v/>
      </c>
      <c r="M140" s="18">
        <f>IF(OR(J140="",F140="Done"),"",IF(J140&lt;NOW(),"Yes","No"))</f>
        <v/>
      </c>
      <c r="N140" s="19" t="n"/>
    </row>
    <row r="141">
      <c r="A141" s="18">
        <f>IF(B141="","","T-"&amp;TEXT(ROW()-4,"000"))</f>
        <v/>
      </c>
      <c r="B141" s="19" t="n"/>
      <c r="C141" s="20" t="n"/>
      <c r="D141" s="19" t="n"/>
      <c r="E141" s="19" t="n"/>
      <c r="F141" s="20" t="n"/>
      <c r="G141" s="20" t="n"/>
      <c r="H141" s="20" t="n"/>
      <c r="I141" s="21" t="n"/>
      <c r="J141" s="22" t="n"/>
      <c r="K141" s="21" t="n"/>
      <c r="L141" s="18">
        <f>IF(OR(J141="",F141="Done"),"",ROUNDDOWN(J141-NOW(),0))</f>
        <v/>
      </c>
      <c r="M141" s="18">
        <f>IF(OR(J141="",F141="Done"),"",IF(J141&lt;NOW(),"Yes","No"))</f>
        <v/>
      </c>
      <c r="N141" s="19" t="n"/>
    </row>
    <row r="142">
      <c r="A142" s="18">
        <f>IF(B142="","","T-"&amp;TEXT(ROW()-4,"000"))</f>
        <v/>
      </c>
      <c r="B142" s="19" t="n"/>
      <c r="C142" s="20" t="n"/>
      <c r="D142" s="19" t="n"/>
      <c r="E142" s="19" t="n"/>
      <c r="F142" s="20" t="n"/>
      <c r="G142" s="20" t="n"/>
      <c r="H142" s="20" t="n"/>
      <c r="I142" s="21" t="n"/>
      <c r="J142" s="22" t="n"/>
      <c r="K142" s="21" t="n"/>
      <c r="L142" s="18">
        <f>IF(OR(J142="",F142="Done"),"",ROUNDDOWN(J142-NOW(),0))</f>
        <v/>
      </c>
      <c r="M142" s="18">
        <f>IF(OR(J142="",F142="Done"),"",IF(J142&lt;NOW(),"Yes","No"))</f>
        <v/>
      </c>
      <c r="N142" s="19" t="n"/>
    </row>
    <row r="143">
      <c r="A143" s="18">
        <f>IF(B143="","","T-"&amp;TEXT(ROW()-4,"000"))</f>
        <v/>
      </c>
      <c r="B143" s="19" t="n"/>
      <c r="C143" s="20" t="n"/>
      <c r="D143" s="19" t="n"/>
      <c r="E143" s="19" t="n"/>
      <c r="F143" s="20" t="n"/>
      <c r="G143" s="20" t="n"/>
      <c r="H143" s="20" t="n"/>
      <c r="I143" s="21" t="n"/>
      <c r="J143" s="22" t="n"/>
      <c r="K143" s="21" t="n"/>
      <c r="L143" s="18">
        <f>IF(OR(J143="",F143="Done"),"",ROUNDDOWN(J143-NOW(),0))</f>
        <v/>
      </c>
      <c r="M143" s="18">
        <f>IF(OR(J143="",F143="Done"),"",IF(J143&lt;NOW(),"Yes","No"))</f>
        <v/>
      </c>
      <c r="N143" s="19" t="n"/>
    </row>
    <row r="144">
      <c r="A144" s="18">
        <f>IF(B144="","","T-"&amp;TEXT(ROW()-4,"000"))</f>
        <v/>
      </c>
      <c r="B144" s="19" t="n"/>
      <c r="C144" s="20" t="n"/>
      <c r="D144" s="19" t="n"/>
      <c r="E144" s="19" t="n"/>
      <c r="F144" s="20" t="n"/>
      <c r="G144" s="20" t="n"/>
      <c r="H144" s="20" t="n"/>
      <c r="I144" s="21" t="n"/>
      <c r="J144" s="22" t="n"/>
      <c r="K144" s="21" t="n"/>
      <c r="L144" s="18">
        <f>IF(OR(J144="",F144="Done"),"",ROUNDDOWN(J144-NOW(),0))</f>
        <v/>
      </c>
      <c r="M144" s="18">
        <f>IF(OR(J144="",F144="Done"),"",IF(J144&lt;NOW(),"Yes","No"))</f>
        <v/>
      </c>
      <c r="N144" s="19" t="n"/>
    </row>
    <row r="145">
      <c r="A145" s="18">
        <f>IF(B145="","","T-"&amp;TEXT(ROW()-4,"000"))</f>
        <v/>
      </c>
      <c r="B145" s="19" t="n"/>
      <c r="C145" s="20" t="n"/>
      <c r="D145" s="19" t="n"/>
      <c r="E145" s="19" t="n"/>
      <c r="F145" s="20" t="n"/>
      <c r="G145" s="20" t="n"/>
      <c r="H145" s="20" t="n"/>
      <c r="I145" s="21" t="n"/>
      <c r="J145" s="22" t="n"/>
      <c r="K145" s="21" t="n"/>
      <c r="L145" s="18">
        <f>IF(OR(J145="",F145="Done"),"",ROUNDDOWN(J145-NOW(),0))</f>
        <v/>
      </c>
      <c r="M145" s="18">
        <f>IF(OR(J145="",F145="Done"),"",IF(J145&lt;NOW(),"Yes","No"))</f>
        <v/>
      </c>
      <c r="N145" s="19" t="n"/>
    </row>
    <row r="146">
      <c r="A146" s="18">
        <f>IF(B146="","","T-"&amp;TEXT(ROW()-4,"000"))</f>
        <v/>
      </c>
      <c r="B146" s="19" t="n"/>
      <c r="C146" s="20" t="n"/>
      <c r="D146" s="19" t="n"/>
      <c r="E146" s="19" t="n"/>
      <c r="F146" s="20" t="n"/>
      <c r="G146" s="20" t="n"/>
      <c r="H146" s="20" t="n"/>
      <c r="I146" s="21" t="n"/>
      <c r="J146" s="22" t="n"/>
      <c r="K146" s="21" t="n"/>
      <c r="L146" s="18">
        <f>IF(OR(J146="",F146="Done"),"",ROUNDDOWN(J146-NOW(),0))</f>
        <v/>
      </c>
      <c r="M146" s="18">
        <f>IF(OR(J146="",F146="Done"),"",IF(J146&lt;NOW(),"Yes","No"))</f>
        <v/>
      </c>
      <c r="N146" s="19" t="n"/>
    </row>
    <row r="147">
      <c r="A147" s="18">
        <f>IF(B147="","","T-"&amp;TEXT(ROW()-4,"000"))</f>
        <v/>
      </c>
      <c r="B147" s="19" t="n"/>
      <c r="C147" s="20" t="n"/>
      <c r="D147" s="19" t="n"/>
      <c r="E147" s="19" t="n"/>
      <c r="F147" s="20" t="n"/>
      <c r="G147" s="20" t="n"/>
      <c r="H147" s="20" t="n"/>
      <c r="I147" s="21" t="n"/>
      <c r="J147" s="22" t="n"/>
      <c r="K147" s="21" t="n"/>
      <c r="L147" s="18">
        <f>IF(OR(J147="",F147="Done"),"",ROUNDDOWN(J147-NOW(),0))</f>
        <v/>
      </c>
      <c r="M147" s="18">
        <f>IF(OR(J147="",F147="Done"),"",IF(J147&lt;NOW(),"Yes","No"))</f>
        <v/>
      </c>
      <c r="N147" s="19" t="n"/>
    </row>
    <row r="148">
      <c r="A148" s="18">
        <f>IF(B148="","","T-"&amp;TEXT(ROW()-4,"000"))</f>
        <v/>
      </c>
      <c r="B148" s="19" t="n"/>
      <c r="C148" s="20" t="n"/>
      <c r="D148" s="19" t="n"/>
      <c r="E148" s="19" t="n"/>
      <c r="F148" s="20" t="n"/>
      <c r="G148" s="20" t="n"/>
      <c r="H148" s="20" t="n"/>
      <c r="I148" s="21" t="n"/>
      <c r="J148" s="22" t="n"/>
      <c r="K148" s="21" t="n"/>
      <c r="L148" s="18">
        <f>IF(OR(J148="",F148="Done"),"",ROUNDDOWN(J148-NOW(),0))</f>
        <v/>
      </c>
      <c r="M148" s="18">
        <f>IF(OR(J148="",F148="Done"),"",IF(J148&lt;NOW(),"Yes","No"))</f>
        <v/>
      </c>
      <c r="N148" s="19" t="n"/>
    </row>
    <row r="149">
      <c r="A149" s="18">
        <f>IF(B149="","","T-"&amp;TEXT(ROW()-4,"000"))</f>
        <v/>
      </c>
      <c r="B149" s="19" t="n"/>
      <c r="C149" s="20" t="n"/>
      <c r="D149" s="19" t="n"/>
      <c r="E149" s="19" t="n"/>
      <c r="F149" s="20" t="n"/>
      <c r="G149" s="20" t="n"/>
      <c r="H149" s="20" t="n"/>
      <c r="I149" s="21" t="n"/>
      <c r="J149" s="22" t="n"/>
      <c r="K149" s="21" t="n"/>
      <c r="L149" s="18">
        <f>IF(OR(J149="",F149="Done"),"",ROUNDDOWN(J149-NOW(),0))</f>
        <v/>
      </c>
      <c r="M149" s="18">
        <f>IF(OR(J149="",F149="Done"),"",IF(J149&lt;NOW(),"Yes","No"))</f>
        <v/>
      </c>
      <c r="N149" s="19" t="n"/>
    </row>
    <row r="150">
      <c r="A150" s="18">
        <f>IF(B150="","","T-"&amp;TEXT(ROW()-4,"000"))</f>
        <v/>
      </c>
      <c r="B150" s="19" t="n"/>
      <c r="C150" s="20" t="n"/>
      <c r="D150" s="19" t="n"/>
      <c r="E150" s="19" t="n"/>
      <c r="F150" s="20" t="n"/>
      <c r="G150" s="20" t="n"/>
      <c r="H150" s="20" t="n"/>
      <c r="I150" s="21" t="n"/>
      <c r="J150" s="22" t="n"/>
      <c r="K150" s="21" t="n"/>
      <c r="L150" s="18">
        <f>IF(OR(J150="",F150="Done"),"",ROUNDDOWN(J150-NOW(),0))</f>
        <v/>
      </c>
      <c r="M150" s="18">
        <f>IF(OR(J150="",F150="Done"),"",IF(J150&lt;NOW(),"Yes","No"))</f>
        <v/>
      </c>
      <c r="N150" s="19" t="n"/>
    </row>
    <row r="151">
      <c r="A151" s="18">
        <f>IF(B151="","","T-"&amp;TEXT(ROW()-4,"000"))</f>
        <v/>
      </c>
      <c r="B151" s="19" t="n"/>
      <c r="C151" s="20" t="n"/>
      <c r="D151" s="19" t="n"/>
      <c r="E151" s="19" t="n"/>
      <c r="F151" s="20" t="n"/>
      <c r="G151" s="20" t="n"/>
      <c r="H151" s="20" t="n"/>
      <c r="I151" s="21" t="n"/>
      <c r="J151" s="22" t="n"/>
      <c r="K151" s="21" t="n"/>
      <c r="L151" s="18">
        <f>IF(OR(J151="",F151="Done"),"",ROUNDDOWN(J151-NOW(),0))</f>
        <v/>
      </c>
      <c r="M151" s="18">
        <f>IF(OR(J151="",F151="Done"),"",IF(J151&lt;NOW(),"Yes","No"))</f>
        <v/>
      </c>
      <c r="N151" s="19" t="n"/>
    </row>
    <row r="152">
      <c r="A152" s="18">
        <f>IF(B152="","","T-"&amp;TEXT(ROW()-4,"000"))</f>
        <v/>
      </c>
      <c r="B152" s="19" t="n"/>
      <c r="C152" s="20" t="n"/>
      <c r="D152" s="19" t="n"/>
      <c r="E152" s="19" t="n"/>
      <c r="F152" s="20" t="n"/>
      <c r="G152" s="20" t="n"/>
      <c r="H152" s="20" t="n"/>
      <c r="I152" s="21" t="n"/>
      <c r="J152" s="22" t="n"/>
      <c r="K152" s="21" t="n"/>
      <c r="L152" s="18">
        <f>IF(OR(J152="",F152="Done"),"",ROUNDDOWN(J152-NOW(),0))</f>
        <v/>
      </c>
      <c r="M152" s="18">
        <f>IF(OR(J152="",F152="Done"),"",IF(J152&lt;NOW(),"Yes","No"))</f>
        <v/>
      </c>
      <c r="N152" s="19" t="n"/>
    </row>
    <row r="153">
      <c r="A153" s="18">
        <f>IF(B153="","","T-"&amp;TEXT(ROW()-4,"000"))</f>
        <v/>
      </c>
      <c r="B153" s="19" t="n"/>
      <c r="C153" s="20" t="n"/>
      <c r="D153" s="19" t="n"/>
      <c r="E153" s="19" t="n"/>
      <c r="F153" s="20" t="n"/>
      <c r="G153" s="20" t="n"/>
      <c r="H153" s="20" t="n"/>
      <c r="I153" s="21" t="n"/>
      <c r="J153" s="22" t="n"/>
      <c r="K153" s="21" t="n"/>
      <c r="L153" s="18">
        <f>IF(OR(J153="",F153="Done"),"",ROUNDDOWN(J153-NOW(),0))</f>
        <v/>
      </c>
      <c r="M153" s="18">
        <f>IF(OR(J153="",F153="Done"),"",IF(J153&lt;NOW(),"Yes","No"))</f>
        <v/>
      </c>
      <c r="N153" s="19" t="n"/>
    </row>
    <row r="154">
      <c r="A154" s="18">
        <f>IF(B154="","","T-"&amp;TEXT(ROW()-4,"000"))</f>
        <v/>
      </c>
      <c r="B154" s="19" t="n"/>
      <c r="C154" s="20" t="n"/>
      <c r="D154" s="19" t="n"/>
      <c r="E154" s="19" t="n"/>
      <c r="F154" s="20" t="n"/>
      <c r="G154" s="20" t="n"/>
      <c r="H154" s="20" t="n"/>
      <c r="I154" s="21" t="n"/>
      <c r="J154" s="22" t="n"/>
      <c r="K154" s="21" t="n"/>
      <c r="L154" s="18">
        <f>IF(OR(J154="",F154="Done"),"",ROUNDDOWN(J154-NOW(),0))</f>
        <v/>
      </c>
      <c r="M154" s="18">
        <f>IF(OR(J154="",F154="Done"),"",IF(J154&lt;NOW(),"Yes","No"))</f>
        <v/>
      </c>
      <c r="N154" s="19" t="n"/>
    </row>
    <row r="155">
      <c r="A155" s="18">
        <f>IF(B155="","","T-"&amp;TEXT(ROW()-4,"000"))</f>
        <v/>
      </c>
      <c r="B155" s="19" t="n"/>
      <c r="C155" s="20" t="n"/>
      <c r="D155" s="19" t="n"/>
      <c r="E155" s="19" t="n"/>
      <c r="F155" s="20" t="n"/>
      <c r="G155" s="20" t="n"/>
      <c r="H155" s="20" t="n"/>
      <c r="I155" s="21" t="n"/>
      <c r="J155" s="22" t="n"/>
      <c r="K155" s="21" t="n"/>
      <c r="L155" s="18">
        <f>IF(OR(J155="",F155="Done"),"",ROUNDDOWN(J155-NOW(),0))</f>
        <v/>
      </c>
      <c r="M155" s="18">
        <f>IF(OR(J155="",F155="Done"),"",IF(J155&lt;NOW(),"Yes","No"))</f>
        <v/>
      </c>
      <c r="N155" s="19" t="n"/>
    </row>
    <row r="156">
      <c r="A156" s="18">
        <f>IF(B156="","","T-"&amp;TEXT(ROW()-4,"000"))</f>
        <v/>
      </c>
      <c r="B156" s="19" t="n"/>
      <c r="C156" s="20" t="n"/>
      <c r="D156" s="19" t="n"/>
      <c r="E156" s="19" t="n"/>
      <c r="F156" s="20" t="n"/>
      <c r="G156" s="20" t="n"/>
      <c r="H156" s="20" t="n"/>
      <c r="I156" s="21" t="n"/>
      <c r="J156" s="22" t="n"/>
      <c r="K156" s="21" t="n"/>
      <c r="L156" s="18">
        <f>IF(OR(J156="",F156="Done"),"",ROUNDDOWN(J156-NOW(),0))</f>
        <v/>
      </c>
      <c r="M156" s="18">
        <f>IF(OR(J156="",F156="Done"),"",IF(J156&lt;NOW(),"Yes","No"))</f>
        <v/>
      </c>
      <c r="N156" s="19" t="n"/>
    </row>
    <row r="157">
      <c r="A157" s="18">
        <f>IF(B157="","","T-"&amp;TEXT(ROW()-4,"000"))</f>
        <v/>
      </c>
      <c r="B157" s="19" t="n"/>
      <c r="C157" s="20" t="n"/>
      <c r="D157" s="19" t="n"/>
      <c r="E157" s="19" t="n"/>
      <c r="F157" s="20" t="n"/>
      <c r="G157" s="20" t="n"/>
      <c r="H157" s="20" t="n"/>
      <c r="I157" s="21" t="n"/>
      <c r="J157" s="22" t="n"/>
      <c r="K157" s="21" t="n"/>
      <c r="L157" s="18">
        <f>IF(OR(J157="",F157="Done"),"",ROUNDDOWN(J157-NOW(),0))</f>
        <v/>
      </c>
      <c r="M157" s="18">
        <f>IF(OR(J157="",F157="Done"),"",IF(J157&lt;NOW(),"Yes","No"))</f>
        <v/>
      </c>
      <c r="N157" s="19" t="n"/>
    </row>
    <row r="158">
      <c r="A158" s="18">
        <f>IF(B158="","","T-"&amp;TEXT(ROW()-4,"000"))</f>
        <v/>
      </c>
      <c r="B158" s="19" t="n"/>
      <c r="C158" s="20" t="n"/>
      <c r="D158" s="19" t="n"/>
      <c r="E158" s="19" t="n"/>
      <c r="F158" s="20" t="n"/>
      <c r="G158" s="20" t="n"/>
      <c r="H158" s="20" t="n"/>
      <c r="I158" s="21" t="n"/>
      <c r="J158" s="22" t="n"/>
      <c r="K158" s="21" t="n"/>
      <c r="L158" s="18">
        <f>IF(OR(J158="",F158="Done"),"",ROUNDDOWN(J158-NOW(),0))</f>
        <v/>
      </c>
      <c r="M158" s="18">
        <f>IF(OR(J158="",F158="Done"),"",IF(J158&lt;NOW(),"Yes","No"))</f>
        <v/>
      </c>
      <c r="N158" s="19" t="n"/>
    </row>
    <row r="159">
      <c r="A159" s="18">
        <f>IF(B159="","","T-"&amp;TEXT(ROW()-4,"000"))</f>
        <v/>
      </c>
      <c r="B159" s="19" t="n"/>
      <c r="C159" s="20" t="n"/>
      <c r="D159" s="19" t="n"/>
      <c r="E159" s="19" t="n"/>
      <c r="F159" s="20" t="n"/>
      <c r="G159" s="20" t="n"/>
      <c r="H159" s="20" t="n"/>
      <c r="I159" s="21" t="n"/>
      <c r="J159" s="22" t="n"/>
      <c r="K159" s="21" t="n"/>
      <c r="L159" s="18">
        <f>IF(OR(J159="",F159="Done"),"",ROUNDDOWN(J159-NOW(),0))</f>
        <v/>
      </c>
      <c r="M159" s="18">
        <f>IF(OR(J159="",F159="Done"),"",IF(J159&lt;NOW(),"Yes","No"))</f>
        <v/>
      </c>
      <c r="N159" s="19" t="n"/>
    </row>
    <row r="160">
      <c r="A160" s="18">
        <f>IF(B160="","","T-"&amp;TEXT(ROW()-4,"000"))</f>
        <v/>
      </c>
      <c r="B160" s="19" t="n"/>
      <c r="C160" s="20" t="n"/>
      <c r="D160" s="19" t="n"/>
      <c r="E160" s="19" t="n"/>
      <c r="F160" s="20" t="n"/>
      <c r="G160" s="20" t="n"/>
      <c r="H160" s="20" t="n"/>
      <c r="I160" s="21" t="n"/>
      <c r="J160" s="22" t="n"/>
      <c r="K160" s="21" t="n"/>
      <c r="L160" s="18">
        <f>IF(OR(J160="",F160="Done"),"",ROUNDDOWN(J160-NOW(),0))</f>
        <v/>
      </c>
      <c r="M160" s="18">
        <f>IF(OR(J160="",F160="Done"),"",IF(J160&lt;NOW(),"Yes","No"))</f>
        <v/>
      </c>
      <c r="N160" s="19" t="n"/>
    </row>
    <row r="161">
      <c r="A161" s="18">
        <f>IF(B161="","","T-"&amp;TEXT(ROW()-4,"000"))</f>
        <v/>
      </c>
      <c r="B161" s="19" t="n"/>
      <c r="C161" s="20" t="n"/>
      <c r="D161" s="19" t="n"/>
      <c r="E161" s="19" t="n"/>
      <c r="F161" s="20" t="n"/>
      <c r="G161" s="20" t="n"/>
      <c r="H161" s="20" t="n"/>
      <c r="I161" s="21" t="n"/>
      <c r="J161" s="22" t="n"/>
      <c r="K161" s="21" t="n"/>
      <c r="L161" s="18">
        <f>IF(OR(J161="",F161="Done"),"",ROUNDDOWN(J161-NOW(),0))</f>
        <v/>
      </c>
      <c r="M161" s="18">
        <f>IF(OR(J161="",F161="Done"),"",IF(J161&lt;NOW(),"Yes","No"))</f>
        <v/>
      </c>
      <c r="N161" s="19" t="n"/>
    </row>
    <row r="162">
      <c r="A162" s="18">
        <f>IF(B162="","","T-"&amp;TEXT(ROW()-4,"000"))</f>
        <v/>
      </c>
      <c r="B162" s="19" t="n"/>
      <c r="C162" s="20" t="n"/>
      <c r="D162" s="19" t="n"/>
      <c r="E162" s="19" t="n"/>
      <c r="F162" s="20" t="n"/>
      <c r="G162" s="20" t="n"/>
      <c r="H162" s="20" t="n"/>
      <c r="I162" s="21" t="n"/>
      <c r="J162" s="22" t="n"/>
      <c r="K162" s="21" t="n"/>
      <c r="L162" s="18">
        <f>IF(OR(J162="",F162="Done"),"",ROUNDDOWN(J162-NOW(),0))</f>
        <v/>
      </c>
      <c r="M162" s="18">
        <f>IF(OR(J162="",F162="Done"),"",IF(J162&lt;NOW(),"Yes","No"))</f>
        <v/>
      </c>
      <c r="N162" s="19" t="n"/>
    </row>
    <row r="163">
      <c r="A163" s="18">
        <f>IF(B163="","","T-"&amp;TEXT(ROW()-4,"000"))</f>
        <v/>
      </c>
      <c r="B163" s="19" t="n"/>
      <c r="C163" s="20" t="n"/>
      <c r="D163" s="19" t="n"/>
      <c r="E163" s="19" t="n"/>
      <c r="F163" s="20" t="n"/>
      <c r="G163" s="20" t="n"/>
      <c r="H163" s="20" t="n"/>
      <c r="I163" s="21" t="n"/>
      <c r="J163" s="22" t="n"/>
      <c r="K163" s="21" t="n"/>
      <c r="L163" s="18">
        <f>IF(OR(J163="",F163="Done"),"",ROUNDDOWN(J163-NOW(),0))</f>
        <v/>
      </c>
      <c r="M163" s="18">
        <f>IF(OR(J163="",F163="Done"),"",IF(J163&lt;NOW(),"Yes","No"))</f>
        <v/>
      </c>
      <c r="N163" s="19" t="n"/>
    </row>
    <row r="164">
      <c r="A164" s="18">
        <f>IF(B164="","","T-"&amp;TEXT(ROW()-4,"000"))</f>
        <v/>
      </c>
      <c r="B164" s="19" t="n"/>
      <c r="C164" s="20" t="n"/>
      <c r="D164" s="19" t="n"/>
      <c r="E164" s="19" t="n"/>
      <c r="F164" s="20" t="n"/>
      <c r="G164" s="20" t="n"/>
      <c r="H164" s="20" t="n"/>
      <c r="I164" s="21" t="n"/>
      <c r="J164" s="22" t="n"/>
      <c r="K164" s="21" t="n"/>
      <c r="L164" s="18">
        <f>IF(OR(J164="",F164="Done"),"",ROUNDDOWN(J164-NOW(),0))</f>
        <v/>
      </c>
      <c r="M164" s="18">
        <f>IF(OR(J164="",F164="Done"),"",IF(J164&lt;NOW(),"Yes","No"))</f>
        <v/>
      </c>
      <c r="N164" s="19" t="n"/>
    </row>
    <row r="165">
      <c r="A165" s="18">
        <f>IF(B165="","","T-"&amp;TEXT(ROW()-4,"000"))</f>
        <v/>
      </c>
      <c r="B165" s="19" t="n"/>
      <c r="C165" s="20" t="n"/>
      <c r="D165" s="19" t="n"/>
      <c r="E165" s="19" t="n"/>
      <c r="F165" s="20" t="n"/>
      <c r="G165" s="20" t="n"/>
      <c r="H165" s="20" t="n"/>
      <c r="I165" s="21" t="n"/>
      <c r="J165" s="22" t="n"/>
      <c r="K165" s="21" t="n"/>
      <c r="L165" s="18">
        <f>IF(OR(J165="",F165="Done"),"",ROUNDDOWN(J165-NOW(),0))</f>
        <v/>
      </c>
      <c r="M165" s="18">
        <f>IF(OR(J165="",F165="Done"),"",IF(J165&lt;NOW(),"Yes","No"))</f>
        <v/>
      </c>
      <c r="N165" s="19" t="n"/>
    </row>
    <row r="166">
      <c r="A166" s="18">
        <f>IF(B166="","","T-"&amp;TEXT(ROW()-4,"000"))</f>
        <v/>
      </c>
      <c r="B166" s="19" t="n"/>
      <c r="C166" s="20" t="n"/>
      <c r="D166" s="19" t="n"/>
      <c r="E166" s="19" t="n"/>
      <c r="F166" s="20" t="n"/>
      <c r="G166" s="20" t="n"/>
      <c r="H166" s="20" t="n"/>
      <c r="I166" s="21" t="n"/>
      <c r="J166" s="22" t="n"/>
      <c r="K166" s="21" t="n"/>
      <c r="L166" s="18">
        <f>IF(OR(J166="",F166="Done"),"",ROUNDDOWN(J166-NOW(),0))</f>
        <v/>
      </c>
      <c r="M166" s="18">
        <f>IF(OR(J166="",F166="Done"),"",IF(J166&lt;NOW(),"Yes","No"))</f>
        <v/>
      </c>
      <c r="N166" s="19" t="n"/>
    </row>
    <row r="167">
      <c r="A167" s="18">
        <f>IF(B167="","","T-"&amp;TEXT(ROW()-4,"000"))</f>
        <v/>
      </c>
      <c r="B167" s="19" t="n"/>
      <c r="C167" s="20" t="n"/>
      <c r="D167" s="19" t="n"/>
      <c r="E167" s="19" t="n"/>
      <c r="F167" s="20" t="n"/>
      <c r="G167" s="20" t="n"/>
      <c r="H167" s="20" t="n"/>
      <c r="I167" s="21" t="n"/>
      <c r="J167" s="22" t="n"/>
      <c r="K167" s="21" t="n"/>
      <c r="L167" s="18">
        <f>IF(OR(J167="",F167="Done"),"",ROUNDDOWN(J167-NOW(),0))</f>
        <v/>
      </c>
      <c r="M167" s="18">
        <f>IF(OR(J167="",F167="Done"),"",IF(J167&lt;NOW(),"Yes","No"))</f>
        <v/>
      </c>
      <c r="N167" s="19" t="n"/>
    </row>
    <row r="168">
      <c r="A168" s="18">
        <f>IF(B168="","","T-"&amp;TEXT(ROW()-4,"000"))</f>
        <v/>
      </c>
      <c r="B168" s="19" t="n"/>
      <c r="C168" s="20" t="n"/>
      <c r="D168" s="19" t="n"/>
      <c r="E168" s="19" t="n"/>
      <c r="F168" s="20" t="n"/>
      <c r="G168" s="20" t="n"/>
      <c r="H168" s="20" t="n"/>
      <c r="I168" s="21" t="n"/>
      <c r="J168" s="22" t="n"/>
      <c r="K168" s="21" t="n"/>
      <c r="L168" s="18">
        <f>IF(OR(J168="",F168="Done"),"",ROUNDDOWN(J168-NOW(),0))</f>
        <v/>
      </c>
      <c r="M168" s="18">
        <f>IF(OR(J168="",F168="Done"),"",IF(J168&lt;NOW(),"Yes","No"))</f>
        <v/>
      </c>
      <c r="N168" s="19" t="n"/>
    </row>
    <row r="169">
      <c r="A169" s="18">
        <f>IF(B169="","","T-"&amp;TEXT(ROW()-4,"000"))</f>
        <v/>
      </c>
      <c r="B169" s="19" t="n"/>
      <c r="C169" s="20" t="n"/>
      <c r="D169" s="19" t="n"/>
      <c r="E169" s="19" t="n"/>
      <c r="F169" s="20" t="n"/>
      <c r="G169" s="20" t="n"/>
      <c r="H169" s="20" t="n"/>
      <c r="I169" s="21" t="n"/>
      <c r="J169" s="22" t="n"/>
      <c r="K169" s="21" t="n"/>
      <c r="L169" s="18">
        <f>IF(OR(J169="",F169="Done"),"",ROUNDDOWN(J169-NOW(),0))</f>
        <v/>
      </c>
      <c r="M169" s="18">
        <f>IF(OR(J169="",F169="Done"),"",IF(J169&lt;NOW(),"Yes","No"))</f>
        <v/>
      </c>
      <c r="N169" s="19" t="n"/>
    </row>
    <row r="170">
      <c r="A170" s="18">
        <f>IF(B170="","","T-"&amp;TEXT(ROW()-4,"000"))</f>
        <v/>
      </c>
      <c r="B170" s="19" t="n"/>
      <c r="C170" s="20" t="n"/>
      <c r="D170" s="19" t="n"/>
      <c r="E170" s="19" t="n"/>
      <c r="F170" s="20" t="n"/>
      <c r="G170" s="20" t="n"/>
      <c r="H170" s="20" t="n"/>
      <c r="I170" s="21" t="n"/>
      <c r="J170" s="22" t="n"/>
      <c r="K170" s="21" t="n"/>
      <c r="L170" s="18">
        <f>IF(OR(J170="",F170="Done"),"",ROUNDDOWN(J170-NOW(),0))</f>
        <v/>
      </c>
      <c r="M170" s="18">
        <f>IF(OR(J170="",F170="Done"),"",IF(J170&lt;NOW(),"Yes","No"))</f>
        <v/>
      </c>
      <c r="N170" s="19" t="n"/>
    </row>
    <row r="171">
      <c r="A171" s="18">
        <f>IF(B171="","","T-"&amp;TEXT(ROW()-4,"000"))</f>
        <v/>
      </c>
      <c r="B171" s="19" t="n"/>
      <c r="C171" s="20" t="n"/>
      <c r="D171" s="19" t="n"/>
      <c r="E171" s="19" t="n"/>
      <c r="F171" s="20" t="n"/>
      <c r="G171" s="20" t="n"/>
      <c r="H171" s="20" t="n"/>
      <c r="I171" s="21" t="n"/>
      <c r="J171" s="22" t="n"/>
      <c r="K171" s="21" t="n"/>
      <c r="L171" s="18">
        <f>IF(OR(J171="",F171="Done"),"",ROUNDDOWN(J171-NOW(),0))</f>
        <v/>
      </c>
      <c r="M171" s="18">
        <f>IF(OR(J171="",F171="Done"),"",IF(J171&lt;NOW(),"Yes","No"))</f>
        <v/>
      </c>
      <c r="N171" s="19" t="n"/>
    </row>
    <row r="172">
      <c r="A172" s="18">
        <f>IF(B172="","","T-"&amp;TEXT(ROW()-4,"000"))</f>
        <v/>
      </c>
      <c r="B172" s="19" t="n"/>
      <c r="C172" s="20" t="n"/>
      <c r="D172" s="19" t="n"/>
      <c r="E172" s="19" t="n"/>
      <c r="F172" s="20" t="n"/>
      <c r="G172" s="20" t="n"/>
      <c r="H172" s="20" t="n"/>
      <c r="I172" s="21" t="n"/>
      <c r="J172" s="22" t="n"/>
      <c r="K172" s="21" t="n"/>
      <c r="L172" s="18">
        <f>IF(OR(J172="",F172="Done"),"",ROUNDDOWN(J172-NOW(),0))</f>
        <v/>
      </c>
      <c r="M172" s="18">
        <f>IF(OR(J172="",F172="Done"),"",IF(J172&lt;NOW(),"Yes","No"))</f>
        <v/>
      </c>
      <c r="N172" s="19" t="n"/>
    </row>
    <row r="173">
      <c r="A173" s="18">
        <f>IF(B173="","","T-"&amp;TEXT(ROW()-4,"000"))</f>
        <v/>
      </c>
      <c r="B173" s="19" t="n"/>
      <c r="C173" s="20" t="n"/>
      <c r="D173" s="19" t="n"/>
      <c r="E173" s="19" t="n"/>
      <c r="F173" s="20" t="n"/>
      <c r="G173" s="20" t="n"/>
      <c r="H173" s="20" t="n"/>
      <c r="I173" s="21" t="n"/>
      <c r="J173" s="22" t="n"/>
      <c r="K173" s="21" t="n"/>
      <c r="L173" s="18">
        <f>IF(OR(J173="",F173="Done"),"",ROUNDDOWN(J173-NOW(),0))</f>
        <v/>
      </c>
      <c r="M173" s="18">
        <f>IF(OR(J173="",F173="Done"),"",IF(J173&lt;NOW(),"Yes","No"))</f>
        <v/>
      </c>
      <c r="N173" s="19" t="n"/>
    </row>
    <row r="174">
      <c r="A174" s="18">
        <f>IF(B174="","","T-"&amp;TEXT(ROW()-4,"000"))</f>
        <v/>
      </c>
      <c r="B174" s="19" t="n"/>
      <c r="C174" s="20" t="n"/>
      <c r="D174" s="19" t="n"/>
      <c r="E174" s="19" t="n"/>
      <c r="F174" s="20" t="n"/>
      <c r="G174" s="20" t="n"/>
      <c r="H174" s="20" t="n"/>
      <c r="I174" s="21" t="n"/>
      <c r="J174" s="22" t="n"/>
      <c r="K174" s="21" t="n"/>
      <c r="L174" s="18">
        <f>IF(OR(J174="",F174="Done"),"",ROUNDDOWN(J174-NOW(),0))</f>
        <v/>
      </c>
      <c r="M174" s="18">
        <f>IF(OR(J174="",F174="Done"),"",IF(J174&lt;NOW(),"Yes","No"))</f>
        <v/>
      </c>
      <c r="N174" s="19" t="n"/>
    </row>
    <row r="175">
      <c r="A175" s="18">
        <f>IF(B175="","","T-"&amp;TEXT(ROW()-4,"000"))</f>
        <v/>
      </c>
      <c r="B175" s="19" t="n"/>
      <c r="C175" s="20" t="n"/>
      <c r="D175" s="19" t="n"/>
      <c r="E175" s="19" t="n"/>
      <c r="F175" s="20" t="n"/>
      <c r="G175" s="20" t="n"/>
      <c r="H175" s="20" t="n"/>
      <c r="I175" s="21" t="n"/>
      <c r="J175" s="22" t="n"/>
      <c r="K175" s="21" t="n"/>
      <c r="L175" s="18">
        <f>IF(OR(J175="",F175="Done"),"",ROUNDDOWN(J175-NOW(),0))</f>
        <v/>
      </c>
      <c r="M175" s="18">
        <f>IF(OR(J175="",F175="Done"),"",IF(J175&lt;NOW(),"Yes","No"))</f>
        <v/>
      </c>
      <c r="N175" s="19" t="n"/>
    </row>
    <row r="176">
      <c r="A176" s="18">
        <f>IF(B176="","","T-"&amp;TEXT(ROW()-4,"000"))</f>
        <v/>
      </c>
      <c r="B176" s="19" t="n"/>
      <c r="C176" s="20" t="n"/>
      <c r="D176" s="19" t="n"/>
      <c r="E176" s="19" t="n"/>
      <c r="F176" s="20" t="n"/>
      <c r="G176" s="20" t="n"/>
      <c r="H176" s="20" t="n"/>
      <c r="I176" s="21" t="n"/>
      <c r="J176" s="22" t="n"/>
      <c r="K176" s="21" t="n"/>
      <c r="L176" s="18">
        <f>IF(OR(J176="",F176="Done"),"",ROUNDDOWN(J176-NOW(),0))</f>
        <v/>
      </c>
      <c r="M176" s="18">
        <f>IF(OR(J176="",F176="Done"),"",IF(J176&lt;NOW(),"Yes","No"))</f>
        <v/>
      </c>
      <c r="N176" s="19" t="n"/>
    </row>
    <row r="177">
      <c r="A177" s="18">
        <f>IF(B177="","","T-"&amp;TEXT(ROW()-4,"000"))</f>
        <v/>
      </c>
      <c r="B177" s="19" t="n"/>
      <c r="C177" s="20" t="n"/>
      <c r="D177" s="19" t="n"/>
      <c r="E177" s="19" t="n"/>
      <c r="F177" s="20" t="n"/>
      <c r="G177" s="20" t="n"/>
      <c r="H177" s="20" t="n"/>
      <c r="I177" s="21" t="n"/>
      <c r="J177" s="22" t="n"/>
      <c r="K177" s="21" t="n"/>
      <c r="L177" s="18">
        <f>IF(OR(J177="",F177="Done"),"",ROUNDDOWN(J177-NOW(),0))</f>
        <v/>
      </c>
      <c r="M177" s="18">
        <f>IF(OR(J177="",F177="Done"),"",IF(J177&lt;NOW(),"Yes","No"))</f>
        <v/>
      </c>
      <c r="N177" s="19" t="n"/>
    </row>
    <row r="178">
      <c r="A178" s="18">
        <f>IF(B178="","","T-"&amp;TEXT(ROW()-4,"000"))</f>
        <v/>
      </c>
      <c r="B178" s="19" t="n"/>
      <c r="C178" s="20" t="n"/>
      <c r="D178" s="19" t="n"/>
      <c r="E178" s="19" t="n"/>
      <c r="F178" s="20" t="n"/>
      <c r="G178" s="20" t="n"/>
      <c r="H178" s="20" t="n"/>
      <c r="I178" s="21" t="n"/>
      <c r="J178" s="22" t="n"/>
      <c r="K178" s="21" t="n"/>
      <c r="L178" s="18">
        <f>IF(OR(J178="",F178="Done"),"",ROUNDDOWN(J178-NOW(),0))</f>
        <v/>
      </c>
      <c r="M178" s="18">
        <f>IF(OR(J178="",F178="Done"),"",IF(J178&lt;NOW(),"Yes","No"))</f>
        <v/>
      </c>
      <c r="N178" s="19" t="n"/>
    </row>
    <row r="179">
      <c r="A179" s="18">
        <f>IF(B179="","","T-"&amp;TEXT(ROW()-4,"000"))</f>
        <v/>
      </c>
      <c r="B179" s="19" t="n"/>
      <c r="C179" s="20" t="n"/>
      <c r="D179" s="19" t="n"/>
      <c r="E179" s="19" t="n"/>
      <c r="F179" s="20" t="n"/>
      <c r="G179" s="20" t="n"/>
      <c r="H179" s="20" t="n"/>
      <c r="I179" s="21" t="n"/>
      <c r="J179" s="22" t="n"/>
      <c r="K179" s="21" t="n"/>
      <c r="L179" s="18">
        <f>IF(OR(J179="",F179="Done"),"",ROUNDDOWN(J179-NOW(),0))</f>
        <v/>
      </c>
      <c r="M179" s="18">
        <f>IF(OR(J179="",F179="Done"),"",IF(J179&lt;NOW(),"Yes","No"))</f>
        <v/>
      </c>
      <c r="N179" s="19" t="n"/>
    </row>
    <row r="180">
      <c r="A180" s="18">
        <f>IF(B180="","","T-"&amp;TEXT(ROW()-4,"000"))</f>
        <v/>
      </c>
      <c r="B180" s="19" t="n"/>
      <c r="C180" s="20" t="n"/>
      <c r="D180" s="19" t="n"/>
      <c r="E180" s="19" t="n"/>
      <c r="F180" s="20" t="n"/>
      <c r="G180" s="20" t="n"/>
      <c r="H180" s="20" t="n"/>
      <c r="I180" s="21" t="n"/>
      <c r="J180" s="22" t="n"/>
      <c r="K180" s="21" t="n"/>
      <c r="L180" s="18">
        <f>IF(OR(J180="",F180="Done"),"",ROUNDDOWN(J180-NOW(),0))</f>
        <v/>
      </c>
      <c r="M180" s="18">
        <f>IF(OR(J180="",F180="Done"),"",IF(J180&lt;NOW(),"Yes","No"))</f>
        <v/>
      </c>
      <c r="N180" s="19" t="n"/>
    </row>
    <row r="181">
      <c r="A181" s="18">
        <f>IF(B181="","","T-"&amp;TEXT(ROW()-4,"000"))</f>
        <v/>
      </c>
      <c r="B181" s="19" t="n"/>
      <c r="C181" s="20" t="n"/>
      <c r="D181" s="19" t="n"/>
      <c r="E181" s="19" t="n"/>
      <c r="F181" s="20" t="n"/>
      <c r="G181" s="20" t="n"/>
      <c r="H181" s="20" t="n"/>
      <c r="I181" s="21" t="n"/>
      <c r="J181" s="22" t="n"/>
      <c r="K181" s="21" t="n"/>
      <c r="L181" s="18">
        <f>IF(OR(J181="",F181="Done"),"",ROUNDDOWN(J181-NOW(),0))</f>
        <v/>
      </c>
      <c r="M181" s="18">
        <f>IF(OR(J181="",F181="Done"),"",IF(J181&lt;NOW(),"Yes","No"))</f>
        <v/>
      </c>
      <c r="N181" s="19" t="n"/>
    </row>
    <row r="182">
      <c r="A182" s="18">
        <f>IF(B182="","","T-"&amp;TEXT(ROW()-4,"000"))</f>
        <v/>
      </c>
      <c r="B182" s="19" t="n"/>
      <c r="C182" s="20" t="n"/>
      <c r="D182" s="19" t="n"/>
      <c r="E182" s="19" t="n"/>
      <c r="F182" s="20" t="n"/>
      <c r="G182" s="20" t="n"/>
      <c r="H182" s="20" t="n"/>
      <c r="I182" s="21" t="n"/>
      <c r="J182" s="22" t="n"/>
      <c r="K182" s="21" t="n"/>
      <c r="L182" s="18">
        <f>IF(OR(J182="",F182="Done"),"",ROUNDDOWN(J182-NOW(),0))</f>
        <v/>
      </c>
      <c r="M182" s="18">
        <f>IF(OR(J182="",F182="Done"),"",IF(J182&lt;NOW(),"Yes","No"))</f>
        <v/>
      </c>
      <c r="N182" s="19" t="n"/>
    </row>
    <row r="183">
      <c r="A183" s="18">
        <f>IF(B183="","","T-"&amp;TEXT(ROW()-4,"000"))</f>
        <v/>
      </c>
      <c r="B183" s="19" t="n"/>
      <c r="C183" s="20" t="n"/>
      <c r="D183" s="19" t="n"/>
      <c r="E183" s="19" t="n"/>
      <c r="F183" s="20" t="n"/>
      <c r="G183" s="20" t="n"/>
      <c r="H183" s="20" t="n"/>
      <c r="I183" s="21" t="n"/>
      <c r="J183" s="22" t="n"/>
      <c r="K183" s="21" t="n"/>
      <c r="L183" s="18">
        <f>IF(OR(J183="",F183="Done"),"",ROUNDDOWN(J183-NOW(),0))</f>
        <v/>
      </c>
      <c r="M183" s="18">
        <f>IF(OR(J183="",F183="Done"),"",IF(J183&lt;NOW(),"Yes","No"))</f>
        <v/>
      </c>
      <c r="N183" s="19" t="n"/>
    </row>
    <row r="184">
      <c r="A184" s="18">
        <f>IF(B184="","","T-"&amp;TEXT(ROW()-4,"000"))</f>
        <v/>
      </c>
      <c r="B184" s="19" t="n"/>
      <c r="C184" s="20" t="n"/>
      <c r="D184" s="19" t="n"/>
      <c r="E184" s="19" t="n"/>
      <c r="F184" s="20" t="n"/>
      <c r="G184" s="20" t="n"/>
      <c r="H184" s="20" t="n"/>
      <c r="I184" s="21" t="n"/>
      <c r="J184" s="22" t="n"/>
      <c r="K184" s="21" t="n"/>
      <c r="L184" s="18">
        <f>IF(OR(J184="",F184="Done"),"",ROUNDDOWN(J184-NOW(),0))</f>
        <v/>
      </c>
      <c r="M184" s="18">
        <f>IF(OR(J184="",F184="Done"),"",IF(J184&lt;NOW(),"Yes","No"))</f>
        <v/>
      </c>
      <c r="N184" s="19" t="n"/>
    </row>
    <row r="185">
      <c r="A185" s="18">
        <f>IF(B185="","","T-"&amp;TEXT(ROW()-4,"000"))</f>
        <v/>
      </c>
      <c r="B185" s="19" t="n"/>
      <c r="C185" s="20" t="n"/>
      <c r="D185" s="19" t="n"/>
      <c r="E185" s="19" t="n"/>
      <c r="F185" s="20" t="n"/>
      <c r="G185" s="20" t="n"/>
      <c r="H185" s="20" t="n"/>
      <c r="I185" s="21" t="n"/>
      <c r="J185" s="22" t="n"/>
      <c r="K185" s="21" t="n"/>
      <c r="L185" s="18">
        <f>IF(OR(J185="",F185="Done"),"",ROUNDDOWN(J185-NOW(),0))</f>
        <v/>
      </c>
      <c r="M185" s="18">
        <f>IF(OR(J185="",F185="Done"),"",IF(J185&lt;NOW(),"Yes","No"))</f>
        <v/>
      </c>
      <c r="N185" s="19" t="n"/>
    </row>
    <row r="186">
      <c r="A186" s="18">
        <f>IF(B186="","","T-"&amp;TEXT(ROW()-4,"000"))</f>
        <v/>
      </c>
      <c r="B186" s="19" t="n"/>
      <c r="C186" s="20" t="n"/>
      <c r="D186" s="19" t="n"/>
      <c r="E186" s="19" t="n"/>
      <c r="F186" s="20" t="n"/>
      <c r="G186" s="20" t="n"/>
      <c r="H186" s="20" t="n"/>
      <c r="I186" s="21" t="n"/>
      <c r="J186" s="22" t="n"/>
      <c r="K186" s="21" t="n"/>
      <c r="L186" s="18">
        <f>IF(OR(J186="",F186="Done"),"",ROUNDDOWN(J186-NOW(),0))</f>
        <v/>
      </c>
      <c r="M186" s="18">
        <f>IF(OR(J186="",F186="Done"),"",IF(J186&lt;NOW(),"Yes","No"))</f>
        <v/>
      </c>
      <c r="N186" s="19" t="n"/>
    </row>
    <row r="187">
      <c r="A187" s="18">
        <f>IF(B187="","","T-"&amp;TEXT(ROW()-4,"000"))</f>
        <v/>
      </c>
      <c r="B187" s="19" t="n"/>
      <c r="C187" s="20" t="n"/>
      <c r="D187" s="19" t="n"/>
      <c r="E187" s="19" t="n"/>
      <c r="F187" s="20" t="n"/>
      <c r="G187" s="20" t="n"/>
      <c r="H187" s="20" t="n"/>
      <c r="I187" s="21" t="n"/>
      <c r="J187" s="22" t="n"/>
      <c r="K187" s="21" t="n"/>
      <c r="L187" s="18">
        <f>IF(OR(J187="",F187="Done"),"",ROUNDDOWN(J187-NOW(),0))</f>
        <v/>
      </c>
      <c r="M187" s="18">
        <f>IF(OR(J187="",F187="Done"),"",IF(J187&lt;NOW(),"Yes","No"))</f>
        <v/>
      </c>
      <c r="N187" s="19" t="n"/>
    </row>
    <row r="188">
      <c r="A188" s="18">
        <f>IF(B188="","","T-"&amp;TEXT(ROW()-4,"000"))</f>
        <v/>
      </c>
      <c r="B188" s="19" t="n"/>
      <c r="C188" s="20" t="n"/>
      <c r="D188" s="19" t="n"/>
      <c r="E188" s="19" t="n"/>
      <c r="F188" s="20" t="n"/>
      <c r="G188" s="20" t="n"/>
      <c r="H188" s="20" t="n"/>
      <c r="I188" s="21" t="n"/>
      <c r="J188" s="22" t="n"/>
      <c r="K188" s="21" t="n"/>
      <c r="L188" s="18">
        <f>IF(OR(J188="",F188="Done"),"",ROUNDDOWN(J188-NOW(),0))</f>
        <v/>
      </c>
      <c r="M188" s="18">
        <f>IF(OR(J188="",F188="Done"),"",IF(J188&lt;NOW(),"Yes","No"))</f>
        <v/>
      </c>
      <c r="N188" s="19" t="n"/>
    </row>
    <row r="189">
      <c r="A189" s="18">
        <f>IF(B189="","","T-"&amp;TEXT(ROW()-4,"000"))</f>
        <v/>
      </c>
      <c r="B189" s="19" t="n"/>
      <c r="C189" s="20" t="n"/>
      <c r="D189" s="19" t="n"/>
      <c r="E189" s="19" t="n"/>
      <c r="F189" s="20" t="n"/>
      <c r="G189" s="20" t="n"/>
      <c r="H189" s="20" t="n"/>
      <c r="I189" s="21" t="n"/>
      <c r="J189" s="22" t="n"/>
      <c r="K189" s="21" t="n"/>
      <c r="L189" s="18">
        <f>IF(OR(J189="",F189="Done"),"",ROUNDDOWN(J189-NOW(),0))</f>
        <v/>
      </c>
      <c r="M189" s="18">
        <f>IF(OR(J189="",F189="Done"),"",IF(J189&lt;NOW(),"Yes","No"))</f>
        <v/>
      </c>
      <c r="N189" s="19" t="n"/>
    </row>
    <row r="190">
      <c r="A190" s="18">
        <f>IF(B190="","","T-"&amp;TEXT(ROW()-4,"000"))</f>
        <v/>
      </c>
      <c r="B190" s="19" t="n"/>
      <c r="C190" s="20" t="n"/>
      <c r="D190" s="19" t="n"/>
      <c r="E190" s="19" t="n"/>
      <c r="F190" s="20" t="n"/>
      <c r="G190" s="20" t="n"/>
      <c r="H190" s="20" t="n"/>
      <c r="I190" s="21" t="n"/>
      <c r="J190" s="22" t="n"/>
      <c r="K190" s="21" t="n"/>
      <c r="L190" s="18">
        <f>IF(OR(J190="",F190="Done"),"",ROUNDDOWN(J190-NOW(),0))</f>
        <v/>
      </c>
      <c r="M190" s="18">
        <f>IF(OR(J190="",F190="Done"),"",IF(J190&lt;NOW(),"Yes","No"))</f>
        <v/>
      </c>
      <c r="N190" s="19" t="n"/>
    </row>
    <row r="191">
      <c r="A191" s="18">
        <f>IF(B191="","","T-"&amp;TEXT(ROW()-4,"000"))</f>
        <v/>
      </c>
      <c r="B191" s="19" t="n"/>
      <c r="C191" s="20" t="n"/>
      <c r="D191" s="19" t="n"/>
      <c r="E191" s="19" t="n"/>
      <c r="F191" s="20" t="n"/>
      <c r="G191" s="20" t="n"/>
      <c r="H191" s="20" t="n"/>
      <c r="I191" s="21" t="n"/>
      <c r="J191" s="22" t="n"/>
      <c r="K191" s="21" t="n"/>
      <c r="L191" s="18">
        <f>IF(OR(J191="",F191="Done"),"",ROUNDDOWN(J191-NOW(),0))</f>
        <v/>
      </c>
      <c r="M191" s="18">
        <f>IF(OR(J191="",F191="Done"),"",IF(J191&lt;NOW(),"Yes","No"))</f>
        <v/>
      </c>
      <c r="N191" s="19" t="n"/>
    </row>
    <row r="192">
      <c r="A192" s="18">
        <f>IF(B192="","","T-"&amp;TEXT(ROW()-4,"000"))</f>
        <v/>
      </c>
      <c r="B192" s="19" t="n"/>
      <c r="C192" s="20" t="n"/>
      <c r="D192" s="19" t="n"/>
      <c r="E192" s="19" t="n"/>
      <c r="F192" s="20" t="n"/>
      <c r="G192" s="20" t="n"/>
      <c r="H192" s="20" t="n"/>
      <c r="I192" s="21" t="n"/>
      <c r="J192" s="22" t="n"/>
      <c r="K192" s="21" t="n"/>
      <c r="L192" s="18">
        <f>IF(OR(J192="",F192="Done"),"",ROUNDDOWN(J192-NOW(),0))</f>
        <v/>
      </c>
      <c r="M192" s="18">
        <f>IF(OR(J192="",F192="Done"),"",IF(J192&lt;NOW(),"Yes","No"))</f>
        <v/>
      </c>
      <c r="N192" s="19" t="n"/>
    </row>
    <row r="193">
      <c r="A193" s="18">
        <f>IF(B193="","","T-"&amp;TEXT(ROW()-4,"000"))</f>
        <v/>
      </c>
      <c r="B193" s="19" t="n"/>
      <c r="C193" s="20" t="n"/>
      <c r="D193" s="19" t="n"/>
      <c r="E193" s="19" t="n"/>
      <c r="F193" s="20" t="n"/>
      <c r="G193" s="20" t="n"/>
      <c r="H193" s="20" t="n"/>
      <c r="I193" s="21" t="n"/>
      <c r="J193" s="22" t="n"/>
      <c r="K193" s="21" t="n"/>
      <c r="L193" s="18">
        <f>IF(OR(J193="",F193="Done"),"",ROUNDDOWN(J193-NOW(),0))</f>
        <v/>
      </c>
      <c r="M193" s="18">
        <f>IF(OR(J193="",F193="Done"),"",IF(J193&lt;NOW(),"Yes","No"))</f>
        <v/>
      </c>
      <c r="N193" s="19" t="n"/>
    </row>
    <row r="194">
      <c r="A194" s="18">
        <f>IF(B194="","","T-"&amp;TEXT(ROW()-4,"000"))</f>
        <v/>
      </c>
      <c r="B194" s="19" t="n"/>
      <c r="C194" s="20" t="n"/>
      <c r="D194" s="19" t="n"/>
      <c r="E194" s="19" t="n"/>
      <c r="F194" s="20" t="n"/>
      <c r="G194" s="20" t="n"/>
      <c r="H194" s="20" t="n"/>
      <c r="I194" s="21" t="n"/>
      <c r="J194" s="22" t="n"/>
      <c r="K194" s="21" t="n"/>
      <c r="L194" s="18">
        <f>IF(OR(J194="",F194="Done"),"",ROUNDDOWN(J194-NOW(),0))</f>
        <v/>
      </c>
      <c r="M194" s="18">
        <f>IF(OR(J194="",F194="Done"),"",IF(J194&lt;NOW(),"Yes","No"))</f>
        <v/>
      </c>
      <c r="N194" s="19" t="n"/>
    </row>
    <row r="195">
      <c r="A195" s="18">
        <f>IF(B195="","","T-"&amp;TEXT(ROW()-4,"000"))</f>
        <v/>
      </c>
      <c r="B195" s="19" t="n"/>
      <c r="C195" s="20" t="n"/>
      <c r="D195" s="19" t="n"/>
      <c r="E195" s="19" t="n"/>
      <c r="F195" s="20" t="n"/>
      <c r="G195" s="20" t="n"/>
      <c r="H195" s="20" t="n"/>
      <c r="I195" s="21" t="n"/>
      <c r="J195" s="22" t="n"/>
      <c r="K195" s="21" t="n"/>
      <c r="L195" s="18">
        <f>IF(OR(J195="",F195="Done"),"",ROUNDDOWN(J195-NOW(),0))</f>
        <v/>
      </c>
      <c r="M195" s="18">
        <f>IF(OR(J195="",F195="Done"),"",IF(J195&lt;NOW(),"Yes","No"))</f>
        <v/>
      </c>
      <c r="N195" s="19" t="n"/>
    </row>
    <row r="196">
      <c r="A196" s="18">
        <f>IF(B196="","","T-"&amp;TEXT(ROW()-4,"000"))</f>
        <v/>
      </c>
      <c r="B196" s="19" t="n"/>
      <c r="C196" s="20" t="n"/>
      <c r="D196" s="19" t="n"/>
      <c r="E196" s="19" t="n"/>
      <c r="F196" s="20" t="n"/>
      <c r="G196" s="20" t="n"/>
      <c r="H196" s="20" t="n"/>
      <c r="I196" s="21" t="n"/>
      <c r="J196" s="22" t="n"/>
      <c r="K196" s="21" t="n"/>
      <c r="L196" s="18">
        <f>IF(OR(J196="",F196="Done"),"",ROUNDDOWN(J196-NOW(),0))</f>
        <v/>
      </c>
      <c r="M196" s="18">
        <f>IF(OR(J196="",F196="Done"),"",IF(J196&lt;NOW(),"Yes","No"))</f>
        <v/>
      </c>
      <c r="N196" s="19" t="n"/>
    </row>
    <row r="197">
      <c r="A197" s="18">
        <f>IF(B197="","","T-"&amp;TEXT(ROW()-4,"000"))</f>
        <v/>
      </c>
      <c r="B197" s="19" t="n"/>
      <c r="C197" s="20" t="n"/>
      <c r="D197" s="19" t="n"/>
      <c r="E197" s="19" t="n"/>
      <c r="F197" s="20" t="n"/>
      <c r="G197" s="20" t="n"/>
      <c r="H197" s="20" t="n"/>
      <c r="I197" s="21" t="n"/>
      <c r="J197" s="22" t="n"/>
      <c r="K197" s="21" t="n"/>
      <c r="L197" s="18">
        <f>IF(OR(J197="",F197="Done"),"",ROUNDDOWN(J197-NOW(),0))</f>
        <v/>
      </c>
      <c r="M197" s="18">
        <f>IF(OR(J197="",F197="Done"),"",IF(J197&lt;NOW(),"Yes","No"))</f>
        <v/>
      </c>
      <c r="N197" s="19" t="n"/>
    </row>
    <row r="198">
      <c r="A198" s="18">
        <f>IF(B198="","","T-"&amp;TEXT(ROW()-4,"000"))</f>
        <v/>
      </c>
      <c r="B198" s="19" t="n"/>
      <c r="C198" s="20" t="n"/>
      <c r="D198" s="19" t="n"/>
      <c r="E198" s="19" t="n"/>
      <c r="F198" s="20" t="n"/>
      <c r="G198" s="20" t="n"/>
      <c r="H198" s="20" t="n"/>
      <c r="I198" s="21" t="n"/>
      <c r="J198" s="22" t="n"/>
      <c r="K198" s="21" t="n"/>
      <c r="L198" s="18">
        <f>IF(OR(J198="",F198="Done"),"",ROUNDDOWN(J198-NOW(),0))</f>
        <v/>
      </c>
      <c r="M198" s="18">
        <f>IF(OR(J198="",F198="Done"),"",IF(J198&lt;NOW(),"Yes","No"))</f>
        <v/>
      </c>
      <c r="N198" s="19" t="n"/>
    </row>
    <row r="199">
      <c r="A199" s="18">
        <f>IF(B199="","","T-"&amp;TEXT(ROW()-4,"000"))</f>
        <v/>
      </c>
      <c r="B199" s="19" t="n"/>
      <c r="C199" s="20" t="n"/>
      <c r="D199" s="19" t="n"/>
      <c r="E199" s="19" t="n"/>
      <c r="F199" s="20" t="n"/>
      <c r="G199" s="20" t="n"/>
      <c r="H199" s="20" t="n"/>
      <c r="I199" s="21" t="n"/>
      <c r="J199" s="22" t="n"/>
      <c r="K199" s="21" t="n"/>
      <c r="L199" s="18">
        <f>IF(OR(J199="",F199="Done"),"",ROUNDDOWN(J199-NOW(),0))</f>
        <v/>
      </c>
      <c r="M199" s="18">
        <f>IF(OR(J199="",F199="Done"),"",IF(J199&lt;NOW(),"Yes","No"))</f>
        <v/>
      </c>
      <c r="N199" s="19" t="n"/>
    </row>
    <row r="200">
      <c r="A200" s="18">
        <f>IF(B200="","","T-"&amp;TEXT(ROW()-4,"000"))</f>
        <v/>
      </c>
      <c r="B200" s="19" t="n"/>
      <c r="C200" s="20" t="n"/>
      <c r="D200" s="19" t="n"/>
      <c r="E200" s="19" t="n"/>
      <c r="F200" s="20" t="n"/>
      <c r="G200" s="20" t="n"/>
      <c r="H200" s="20" t="n"/>
      <c r="I200" s="21" t="n"/>
      <c r="J200" s="22" t="n"/>
      <c r="K200" s="21" t="n"/>
      <c r="L200" s="18">
        <f>IF(OR(J200="",F200="Done"),"",ROUNDDOWN(J200-NOW(),0))</f>
        <v/>
      </c>
      <c r="M200" s="18">
        <f>IF(OR(J200="",F200="Done"),"",IF(J200&lt;NOW(),"Yes","No"))</f>
        <v/>
      </c>
      <c r="N200" s="19" t="n"/>
    </row>
    <row r="201">
      <c r="A201" s="18">
        <f>IF(B201="","","T-"&amp;TEXT(ROW()-4,"000"))</f>
        <v/>
      </c>
      <c r="B201" s="19" t="n"/>
      <c r="C201" s="20" t="n"/>
      <c r="D201" s="19" t="n"/>
      <c r="E201" s="19" t="n"/>
      <c r="F201" s="20" t="n"/>
      <c r="G201" s="20" t="n"/>
      <c r="H201" s="20" t="n"/>
      <c r="I201" s="21" t="n"/>
      <c r="J201" s="22" t="n"/>
      <c r="K201" s="21" t="n"/>
      <c r="L201" s="18">
        <f>IF(OR(J201="",F201="Done"),"",ROUNDDOWN(J201-NOW(),0))</f>
        <v/>
      </c>
      <c r="M201" s="18">
        <f>IF(OR(J201="",F201="Done"),"",IF(J201&lt;NOW(),"Yes","No"))</f>
        <v/>
      </c>
      <c r="N201" s="19" t="n"/>
    </row>
    <row r="202">
      <c r="A202" s="18">
        <f>IF(B202="","","T-"&amp;TEXT(ROW()-4,"000"))</f>
        <v/>
      </c>
      <c r="B202" s="19" t="n"/>
      <c r="C202" s="20" t="n"/>
      <c r="D202" s="19" t="n"/>
      <c r="E202" s="19" t="n"/>
      <c r="F202" s="20" t="n"/>
      <c r="G202" s="20" t="n"/>
      <c r="H202" s="20" t="n"/>
      <c r="I202" s="21" t="n"/>
      <c r="J202" s="22" t="n"/>
      <c r="K202" s="21" t="n"/>
      <c r="L202" s="18">
        <f>IF(OR(J202="",F202="Done"),"",ROUNDDOWN(J202-NOW(),0))</f>
        <v/>
      </c>
      <c r="M202" s="18">
        <f>IF(OR(J202="",F202="Done"),"",IF(J202&lt;NOW(),"Yes","No"))</f>
        <v/>
      </c>
      <c r="N202" s="19" t="n"/>
    </row>
    <row r="203">
      <c r="A203" s="18">
        <f>IF(B203="","","T-"&amp;TEXT(ROW()-4,"000"))</f>
        <v/>
      </c>
      <c r="B203" s="19" t="n"/>
      <c r="C203" s="20" t="n"/>
      <c r="D203" s="19" t="n"/>
      <c r="E203" s="19" t="n"/>
      <c r="F203" s="20" t="n"/>
      <c r="G203" s="20" t="n"/>
      <c r="H203" s="20" t="n"/>
      <c r="I203" s="21" t="n"/>
      <c r="J203" s="22" t="n"/>
      <c r="K203" s="21" t="n"/>
      <c r="L203" s="18">
        <f>IF(OR(J203="",F203="Done"),"",ROUNDDOWN(J203-NOW(),0))</f>
        <v/>
      </c>
      <c r="M203" s="18">
        <f>IF(OR(J203="",F203="Done"),"",IF(J203&lt;NOW(),"Yes","No"))</f>
        <v/>
      </c>
      <c r="N203" s="19" t="n"/>
    </row>
    <row r="204">
      <c r="A204" s="18">
        <f>IF(B204="","","T-"&amp;TEXT(ROW()-4,"000"))</f>
        <v/>
      </c>
      <c r="B204" s="19" t="n"/>
      <c r="C204" s="20" t="n"/>
      <c r="D204" s="19" t="n"/>
      <c r="E204" s="19" t="n"/>
      <c r="F204" s="20" t="n"/>
      <c r="G204" s="20" t="n"/>
      <c r="H204" s="20" t="n"/>
      <c r="I204" s="21" t="n"/>
      <c r="J204" s="22" t="n"/>
      <c r="K204" s="21" t="n"/>
      <c r="L204" s="18">
        <f>IF(OR(J204="",F204="Done"),"",ROUNDDOWN(J204-NOW(),0))</f>
        <v/>
      </c>
      <c r="M204" s="18">
        <f>IF(OR(J204="",F204="Done"),"",IF(J204&lt;NOW(),"Yes","No"))</f>
        <v/>
      </c>
      <c r="N204" s="19" t="n"/>
    </row>
  </sheetData>
  <autoFilter ref="A4:N204"/>
  <conditionalFormatting sqref="F5:F204">
    <cfRule type="cellIs" priority="1" operator="equal" dxfId="1">
      <formula>"Done"</formula>
    </cfRule>
    <cfRule type="cellIs" priority="2" operator="equal" dxfId="2">
      <formula>"In progress"</formula>
    </cfRule>
    <cfRule type="cellIs" priority="3" operator="equal" dxfId="3">
      <formula>"In review"</formula>
    </cfRule>
    <cfRule type="cellIs" priority="4" operator="equal" dxfId="4">
      <formula>"Blocked"</formula>
    </cfRule>
    <cfRule type="cellIs" priority="5" operator="equal" dxfId="5">
      <formula>"Not started"</formula>
    </cfRule>
  </conditionalFormatting>
  <conditionalFormatting sqref="M5:M204">
    <cfRule type="cellIs" priority="6" operator="equal" dxfId="6">
      <formula>"Yes"</formula>
    </cfRule>
  </conditionalFormatting>
  <conditionalFormatting sqref="G5:G204">
    <cfRule type="cellIs" priority="7" operator="equal" dxfId="7">
      <formula>"High"</formula>
    </cfRule>
  </conditionalFormatting>
  <dataValidations count="4">
    <dataValidation sqref="C5:C204" showDropDown="0" showInputMessage="0" showErrorMessage="1" allowBlank="1" errorTitle="Pick from the list" error="Choose a value from the drop-down." type="list">
      <formula1>Lists!$D$5:$D$14</formula1>
    </dataValidation>
    <dataValidation sqref="E5:E204" showDropDown="0" showInputMessage="0" showErrorMessage="1" allowBlank="1" errorTitle="Pick from the list" error="Choose a value from the drop-down." type="list">
      <formula1>Team!$A$5:$A$14</formula1>
    </dataValidation>
    <dataValidation sqref="F5:F204" showDropDown="0" showInputMessage="0" showErrorMessage="1" allowBlank="1" errorTitle="Pick from the list" error="Choose a value from the drop-down." type="list">
      <formula1>Lists!$A$5:$A$14</formula1>
    </dataValidation>
    <dataValidation sqref="G5:G204" showDropDown="0" showInputMessage="0" showErrorMessage="1" allowBlank="1" errorTitle="Pick from the list" error="Choose a value from the drop-down." type="list">
      <formula1>Lists!$B$5:$B$14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90FA"/>
    <outlinePr summaryBelow="1" summaryRight="1"/>
    <pageSetUpPr/>
  </sheetPr>
  <dimension ref="A1:G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4" customWidth="1" min="3" max="3"/>
    <col width="44" customWidth="1" min="4" max="4"/>
    <col width="30" customWidth="1" min="5" max="5"/>
    <col width="8" customWidth="1" min="6" max="6"/>
    <col width="14" customWidth="1" min="7" max="7"/>
  </cols>
  <sheetData>
    <row r="1" ht="28" customHeight="1">
      <c r="A1" s="1" t="inlineStr">
        <is>
          <t>Daily Check-ins (team progress)</t>
        </is>
      </c>
    </row>
    <row r="2">
      <c r="A2" s="2" t="inlineStr">
        <is>
          <t>One row per person per day. Keep it short. The grey example row shows the format; delete it once you add real rows.</t>
        </is>
      </c>
    </row>
    <row r="4" ht="30" customHeight="1">
      <c r="A4" s="12" t="inlineStr">
        <is>
          <t>Date</t>
        </is>
      </c>
      <c r="B4" s="12" t="inlineStr">
        <is>
          <t>Member</t>
        </is>
      </c>
      <c r="C4" s="12" t="inlineStr">
        <is>
          <t>What I did</t>
        </is>
      </c>
      <c r="D4" s="12" t="inlineStr">
        <is>
          <t>What I'll do next</t>
        </is>
      </c>
      <c r="E4" s="12" t="inlineStr">
        <is>
          <t>Blocked by</t>
        </is>
      </c>
      <c r="F4" s="12" t="inlineStr">
        <is>
          <t>Hours</t>
        </is>
      </c>
      <c r="G4" s="12" t="inlineStr">
        <is>
          <t>Related task ID</t>
        </is>
      </c>
    </row>
    <row r="5">
      <c r="A5" s="23" t="n">
        <v>46304</v>
      </c>
      <c r="B5" s="24" t="inlineStr">
        <is>
          <t>Anas Elgalad</t>
        </is>
      </c>
      <c r="C5" s="24" t="inlineStr">
        <is>
          <t>Ran the full notebook; checked every answer cell against the outputs</t>
        </is>
      </c>
      <c r="D5" s="24" t="inlineStr">
        <is>
          <t>Review the final summary with the team</t>
        </is>
      </c>
      <c r="E5" s="24" t="inlineStr">
        <is>
          <t>—</t>
        </is>
      </c>
      <c r="F5" s="25" t="n">
        <v>2.5</v>
      </c>
      <c r="G5" s="26" t="inlineStr">
        <is>
          <t>T-010</t>
        </is>
      </c>
    </row>
    <row r="6">
      <c r="A6" s="27" t="n"/>
      <c r="B6" s="19" t="n"/>
      <c r="C6" s="19" t="n"/>
      <c r="D6" s="19" t="n"/>
      <c r="E6" s="19" t="n"/>
      <c r="F6" s="28" t="n"/>
      <c r="G6" s="20" t="n"/>
    </row>
    <row r="7">
      <c r="A7" s="27" t="n"/>
      <c r="B7" s="19" t="n"/>
      <c r="C7" s="19" t="n"/>
      <c r="D7" s="19" t="n"/>
      <c r="E7" s="19" t="n"/>
      <c r="F7" s="28" t="n"/>
      <c r="G7" s="20" t="n"/>
    </row>
    <row r="8">
      <c r="A8" s="27" t="n"/>
      <c r="B8" s="19" t="n"/>
      <c r="C8" s="19" t="n"/>
      <c r="D8" s="19" t="n"/>
      <c r="E8" s="19" t="n"/>
      <c r="F8" s="28" t="n"/>
      <c r="G8" s="20" t="n"/>
    </row>
    <row r="9">
      <c r="A9" s="27" t="n"/>
      <c r="B9" s="19" t="n"/>
      <c r="C9" s="19" t="n"/>
      <c r="D9" s="19" t="n"/>
      <c r="E9" s="19" t="n"/>
      <c r="F9" s="28" t="n"/>
      <c r="G9" s="20" t="n"/>
    </row>
    <row r="10">
      <c r="A10" s="27" t="n"/>
      <c r="B10" s="19" t="n"/>
      <c r="C10" s="19" t="n"/>
      <c r="D10" s="19" t="n"/>
      <c r="E10" s="19" t="n"/>
      <c r="F10" s="28" t="n"/>
      <c r="G10" s="20" t="n"/>
    </row>
    <row r="11">
      <c r="A11" s="27" t="n"/>
      <c r="B11" s="19" t="n"/>
      <c r="C11" s="19" t="n"/>
      <c r="D11" s="19" t="n"/>
      <c r="E11" s="19" t="n"/>
      <c r="F11" s="28" t="n"/>
      <c r="G11" s="20" t="n"/>
    </row>
    <row r="12">
      <c r="A12" s="27" t="n"/>
      <c r="B12" s="19" t="n"/>
      <c r="C12" s="19" t="n"/>
      <c r="D12" s="19" t="n"/>
      <c r="E12" s="19" t="n"/>
      <c r="F12" s="28" t="n"/>
      <c r="G12" s="20" t="n"/>
    </row>
    <row r="13">
      <c r="A13" s="27" t="n"/>
      <c r="B13" s="19" t="n"/>
      <c r="C13" s="19" t="n"/>
      <c r="D13" s="19" t="n"/>
      <c r="E13" s="19" t="n"/>
      <c r="F13" s="28" t="n"/>
      <c r="G13" s="20" t="n"/>
    </row>
    <row r="14">
      <c r="A14" s="27" t="n"/>
      <c r="B14" s="19" t="n"/>
      <c r="C14" s="19" t="n"/>
      <c r="D14" s="19" t="n"/>
      <c r="E14" s="19" t="n"/>
      <c r="F14" s="28" t="n"/>
      <c r="G14" s="20" t="n"/>
    </row>
    <row r="15">
      <c r="A15" s="27" t="n"/>
      <c r="B15" s="19" t="n"/>
      <c r="C15" s="19" t="n"/>
      <c r="D15" s="19" t="n"/>
      <c r="E15" s="19" t="n"/>
      <c r="F15" s="28" t="n"/>
      <c r="G15" s="20" t="n"/>
    </row>
    <row r="16">
      <c r="A16" s="27" t="n"/>
      <c r="B16" s="19" t="n"/>
      <c r="C16" s="19" t="n"/>
      <c r="D16" s="19" t="n"/>
      <c r="E16" s="19" t="n"/>
      <c r="F16" s="28" t="n"/>
      <c r="G16" s="20" t="n"/>
    </row>
    <row r="17">
      <c r="A17" s="27" t="n"/>
      <c r="B17" s="19" t="n"/>
      <c r="C17" s="19" t="n"/>
      <c r="D17" s="19" t="n"/>
      <c r="E17" s="19" t="n"/>
      <c r="F17" s="28" t="n"/>
      <c r="G17" s="20" t="n"/>
    </row>
    <row r="18">
      <c r="A18" s="27" t="n"/>
      <c r="B18" s="19" t="n"/>
      <c r="C18" s="19" t="n"/>
      <c r="D18" s="19" t="n"/>
      <c r="E18" s="19" t="n"/>
      <c r="F18" s="28" t="n"/>
      <c r="G18" s="20" t="n"/>
    </row>
    <row r="19">
      <c r="A19" s="27" t="n"/>
      <c r="B19" s="19" t="n"/>
      <c r="C19" s="19" t="n"/>
      <c r="D19" s="19" t="n"/>
      <c r="E19" s="19" t="n"/>
      <c r="F19" s="28" t="n"/>
      <c r="G19" s="20" t="n"/>
    </row>
    <row r="20">
      <c r="A20" s="27" t="n"/>
      <c r="B20" s="19" t="n"/>
      <c r="C20" s="19" t="n"/>
      <c r="D20" s="19" t="n"/>
      <c r="E20" s="19" t="n"/>
      <c r="F20" s="28" t="n"/>
      <c r="G20" s="20" t="n"/>
    </row>
    <row r="21">
      <c r="A21" s="27" t="n"/>
      <c r="B21" s="19" t="n"/>
      <c r="C21" s="19" t="n"/>
      <c r="D21" s="19" t="n"/>
      <c r="E21" s="19" t="n"/>
      <c r="F21" s="28" t="n"/>
      <c r="G21" s="20" t="n"/>
    </row>
    <row r="22">
      <c r="A22" s="27" t="n"/>
      <c r="B22" s="19" t="n"/>
      <c r="C22" s="19" t="n"/>
      <c r="D22" s="19" t="n"/>
      <c r="E22" s="19" t="n"/>
      <c r="F22" s="28" t="n"/>
      <c r="G22" s="20" t="n"/>
    </row>
    <row r="23">
      <c r="A23" s="27" t="n"/>
      <c r="B23" s="19" t="n"/>
      <c r="C23" s="19" t="n"/>
      <c r="D23" s="19" t="n"/>
      <c r="E23" s="19" t="n"/>
      <c r="F23" s="28" t="n"/>
      <c r="G23" s="20" t="n"/>
    </row>
    <row r="24">
      <c r="A24" s="27" t="n"/>
      <c r="B24" s="19" t="n"/>
      <c r="C24" s="19" t="n"/>
      <c r="D24" s="19" t="n"/>
      <c r="E24" s="19" t="n"/>
      <c r="F24" s="28" t="n"/>
      <c r="G24" s="20" t="n"/>
    </row>
    <row r="25">
      <c r="A25" s="27" t="n"/>
      <c r="B25" s="19" t="n"/>
      <c r="C25" s="19" t="n"/>
      <c r="D25" s="19" t="n"/>
      <c r="E25" s="19" t="n"/>
      <c r="F25" s="28" t="n"/>
      <c r="G25" s="20" t="n"/>
    </row>
    <row r="26">
      <c r="A26" s="27" t="n"/>
      <c r="B26" s="19" t="n"/>
      <c r="C26" s="19" t="n"/>
      <c r="D26" s="19" t="n"/>
      <c r="E26" s="19" t="n"/>
      <c r="F26" s="28" t="n"/>
      <c r="G26" s="20" t="n"/>
    </row>
    <row r="27">
      <c r="A27" s="27" t="n"/>
      <c r="B27" s="19" t="n"/>
      <c r="C27" s="19" t="n"/>
      <c r="D27" s="19" t="n"/>
      <c r="E27" s="19" t="n"/>
      <c r="F27" s="28" t="n"/>
      <c r="G27" s="20" t="n"/>
    </row>
    <row r="28">
      <c r="A28" s="27" t="n"/>
      <c r="B28" s="19" t="n"/>
      <c r="C28" s="19" t="n"/>
      <c r="D28" s="19" t="n"/>
      <c r="E28" s="19" t="n"/>
      <c r="F28" s="28" t="n"/>
      <c r="G28" s="20" t="n"/>
    </row>
    <row r="29">
      <c r="A29" s="27" t="n"/>
      <c r="B29" s="19" t="n"/>
      <c r="C29" s="19" t="n"/>
      <c r="D29" s="19" t="n"/>
      <c r="E29" s="19" t="n"/>
      <c r="F29" s="28" t="n"/>
      <c r="G29" s="20" t="n"/>
    </row>
    <row r="30">
      <c r="A30" s="27" t="n"/>
      <c r="B30" s="19" t="n"/>
      <c r="C30" s="19" t="n"/>
      <c r="D30" s="19" t="n"/>
      <c r="E30" s="19" t="n"/>
      <c r="F30" s="28" t="n"/>
      <c r="G30" s="20" t="n"/>
    </row>
    <row r="31">
      <c r="A31" s="27" t="n"/>
      <c r="B31" s="19" t="n"/>
      <c r="C31" s="19" t="n"/>
      <c r="D31" s="19" t="n"/>
      <c r="E31" s="19" t="n"/>
      <c r="F31" s="28" t="n"/>
      <c r="G31" s="20" t="n"/>
    </row>
    <row r="32">
      <c r="A32" s="27" t="n"/>
      <c r="B32" s="19" t="n"/>
      <c r="C32" s="19" t="n"/>
      <c r="D32" s="19" t="n"/>
      <c r="E32" s="19" t="n"/>
      <c r="F32" s="28" t="n"/>
      <c r="G32" s="20" t="n"/>
    </row>
    <row r="33">
      <c r="A33" s="27" t="n"/>
      <c r="B33" s="19" t="n"/>
      <c r="C33" s="19" t="n"/>
      <c r="D33" s="19" t="n"/>
      <c r="E33" s="19" t="n"/>
      <c r="F33" s="28" t="n"/>
      <c r="G33" s="20" t="n"/>
    </row>
    <row r="34">
      <c r="A34" s="27" t="n"/>
      <c r="B34" s="19" t="n"/>
      <c r="C34" s="19" t="n"/>
      <c r="D34" s="19" t="n"/>
      <c r="E34" s="19" t="n"/>
      <c r="F34" s="28" t="n"/>
      <c r="G34" s="20" t="n"/>
    </row>
    <row r="35">
      <c r="A35" s="27" t="n"/>
      <c r="B35" s="19" t="n"/>
      <c r="C35" s="19" t="n"/>
      <c r="D35" s="19" t="n"/>
      <c r="E35" s="19" t="n"/>
      <c r="F35" s="28" t="n"/>
      <c r="G35" s="20" t="n"/>
    </row>
    <row r="36">
      <c r="A36" s="27" t="n"/>
      <c r="B36" s="19" t="n"/>
      <c r="C36" s="19" t="n"/>
      <c r="D36" s="19" t="n"/>
      <c r="E36" s="19" t="n"/>
      <c r="F36" s="28" t="n"/>
      <c r="G36" s="20" t="n"/>
    </row>
    <row r="37">
      <c r="A37" s="27" t="n"/>
      <c r="B37" s="19" t="n"/>
      <c r="C37" s="19" t="n"/>
      <c r="D37" s="19" t="n"/>
      <c r="E37" s="19" t="n"/>
      <c r="F37" s="28" t="n"/>
      <c r="G37" s="20" t="n"/>
    </row>
    <row r="38">
      <c r="A38" s="27" t="n"/>
      <c r="B38" s="19" t="n"/>
      <c r="C38" s="19" t="n"/>
      <c r="D38" s="19" t="n"/>
      <c r="E38" s="19" t="n"/>
      <c r="F38" s="28" t="n"/>
      <c r="G38" s="20" t="n"/>
    </row>
    <row r="39">
      <c r="A39" s="27" t="n"/>
      <c r="B39" s="19" t="n"/>
      <c r="C39" s="19" t="n"/>
      <c r="D39" s="19" t="n"/>
      <c r="E39" s="19" t="n"/>
      <c r="F39" s="28" t="n"/>
      <c r="G39" s="20" t="n"/>
    </row>
    <row r="40">
      <c r="A40" s="27" t="n"/>
      <c r="B40" s="19" t="n"/>
      <c r="C40" s="19" t="n"/>
      <c r="D40" s="19" t="n"/>
      <c r="E40" s="19" t="n"/>
      <c r="F40" s="28" t="n"/>
      <c r="G40" s="20" t="n"/>
    </row>
    <row r="41">
      <c r="A41" s="27" t="n"/>
      <c r="B41" s="19" t="n"/>
      <c r="C41" s="19" t="n"/>
      <c r="D41" s="19" t="n"/>
      <c r="E41" s="19" t="n"/>
      <c r="F41" s="28" t="n"/>
      <c r="G41" s="20" t="n"/>
    </row>
    <row r="42">
      <c r="A42" s="27" t="n"/>
      <c r="B42" s="19" t="n"/>
      <c r="C42" s="19" t="n"/>
      <c r="D42" s="19" t="n"/>
      <c r="E42" s="19" t="n"/>
      <c r="F42" s="28" t="n"/>
      <c r="G42" s="20" t="n"/>
    </row>
    <row r="43">
      <c r="A43" s="27" t="n"/>
      <c r="B43" s="19" t="n"/>
      <c r="C43" s="19" t="n"/>
      <c r="D43" s="19" t="n"/>
      <c r="E43" s="19" t="n"/>
      <c r="F43" s="28" t="n"/>
      <c r="G43" s="20" t="n"/>
    </row>
    <row r="44">
      <c r="A44" s="27" t="n"/>
      <c r="B44" s="19" t="n"/>
      <c r="C44" s="19" t="n"/>
      <c r="D44" s="19" t="n"/>
      <c r="E44" s="19" t="n"/>
      <c r="F44" s="28" t="n"/>
      <c r="G44" s="20" t="n"/>
    </row>
    <row r="45">
      <c r="A45" s="27" t="n"/>
      <c r="B45" s="19" t="n"/>
      <c r="C45" s="19" t="n"/>
      <c r="D45" s="19" t="n"/>
      <c r="E45" s="19" t="n"/>
      <c r="F45" s="28" t="n"/>
      <c r="G45" s="20" t="n"/>
    </row>
    <row r="46">
      <c r="A46" s="27" t="n"/>
      <c r="B46" s="19" t="n"/>
      <c r="C46" s="19" t="n"/>
      <c r="D46" s="19" t="n"/>
      <c r="E46" s="19" t="n"/>
      <c r="F46" s="28" t="n"/>
      <c r="G46" s="20" t="n"/>
    </row>
    <row r="47">
      <c r="A47" s="27" t="n"/>
      <c r="B47" s="19" t="n"/>
      <c r="C47" s="19" t="n"/>
      <c r="D47" s="19" t="n"/>
      <c r="E47" s="19" t="n"/>
      <c r="F47" s="28" t="n"/>
      <c r="G47" s="20" t="n"/>
    </row>
    <row r="48">
      <c r="A48" s="27" t="n"/>
      <c r="B48" s="19" t="n"/>
      <c r="C48" s="19" t="n"/>
      <c r="D48" s="19" t="n"/>
      <c r="E48" s="19" t="n"/>
      <c r="F48" s="28" t="n"/>
      <c r="G48" s="20" t="n"/>
    </row>
    <row r="49">
      <c r="A49" s="27" t="n"/>
      <c r="B49" s="19" t="n"/>
      <c r="C49" s="19" t="n"/>
      <c r="D49" s="19" t="n"/>
      <c r="E49" s="19" t="n"/>
      <c r="F49" s="28" t="n"/>
      <c r="G49" s="20" t="n"/>
    </row>
    <row r="50">
      <c r="A50" s="27" t="n"/>
      <c r="B50" s="19" t="n"/>
      <c r="C50" s="19" t="n"/>
      <c r="D50" s="19" t="n"/>
      <c r="E50" s="19" t="n"/>
      <c r="F50" s="28" t="n"/>
      <c r="G50" s="20" t="n"/>
    </row>
    <row r="51">
      <c r="A51" s="27" t="n"/>
      <c r="B51" s="19" t="n"/>
      <c r="C51" s="19" t="n"/>
      <c r="D51" s="19" t="n"/>
      <c r="E51" s="19" t="n"/>
      <c r="F51" s="28" t="n"/>
      <c r="G51" s="20" t="n"/>
    </row>
    <row r="52">
      <c r="A52" s="27" t="n"/>
      <c r="B52" s="19" t="n"/>
      <c r="C52" s="19" t="n"/>
      <c r="D52" s="19" t="n"/>
      <c r="E52" s="19" t="n"/>
      <c r="F52" s="28" t="n"/>
      <c r="G52" s="20" t="n"/>
    </row>
    <row r="53">
      <c r="A53" s="27" t="n"/>
      <c r="B53" s="19" t="n"/>
      <c r="C53" s="19" t="n"/>
      <c r="D53" s="19" t="n"/>
      <c r="E53" s="19" t="n"/>
      <c r="F53" s="28" t="n"/>
      <c r="G53" s="20" t="n"/>
    </row>
    <row r="54">
      <c r="A54" s="27" t="n"/>
      <c r="B54" s="19" t="n"/>
      <c r="C54" s="19" t="n"/>
      <c r="D54" s="19" t="n"/>
      <c r="E54" s="19" t="n"/>
      <c r="F54" s="28" t="n"/>
      <c r="G54" s="20" t="n"/>
    </row>
    <row r="55">
      <c r="A55" s="27" t="n"/>
      <c r="B55" s="19" t="n"/>
      <c r="C55" s="19" t="n"/>
      <c r="D55" s="19" t="n"/>
      <c r="E55" s="19" t="n"/>
      <c r="F55" s="28" t="n"/>
      <c r="G55" s="20" t="n"/>
    </row>
    <row r="56">
      <c r="A56" s="27" t="n"/>
      <c r="B56" s="19" t="n"/>
      <c r="C56" s="19" t="n"/>
      <c r="D56" s="19" t="n"/>
      <c r="E56" s="19" t="n"/>
      <c r="F56" s="28" t="n"/>
      <c r="G56" s="20" t="n"/>
    </row>
    <row r="57">
      <c r="A57" s="27" t="n"/>
      <c r="B57" s="19" t="n"/>
      <c r="C57" s="19" t="n"/>
      <c r="D57" s="19" t="n"/>
      <c r="E57" s="19" t="n"/>
      <c r="F57" s="28" t="n"/>
      <c r="G57" s="20" t="n"/>
    </row>
    <row r="58">
      <c r="A58" s="27" t="n"/>
      <c r="B58" s="19" t="n"/>
      <c r="C58" s="19" t="n"/>
      <c r="D58" s="19" t="n"/>
      <c r="E58" s="19" t="n"/>
      <c r="F58" s="28" t="n"/>
      <c r="G58" s="20" t="n"/>
    </row>
    <row r="59">
      <c r="A59" s="27" t="n"/>
      <c r="B59" s="19" t="n"/>
      <c r="C59" s="19" t="n"/>
      <c r="D59" s="19" t="n"/>
      <c r="E59" s="19" t="n"/>
      <c r="F59" s="28" t="n"/>
      <c r="G59" s="20" t="n"/>
    </row>
    <row r="60">
      <c r="A60" s="27" t="n"/>
      <c r="B60" s="19" t="n"/>
      <c r="C60" s="19" t="n"/>
      <c r="D60" s="19" t="n"/>
      <c r="E60" s="19" t="n"/>
      <c r="F60" s="28" t="n"/>
      <c r="G60" s="20" t="n"/>
    </row>
    <row r="61">
      <c r="A61" s="27" t="n"/>
      <c r="B61" s="19" t="n"/>
      <c r="C61" s="19" t="n"/>
      <c r="D61" s="19" t="n"/>
      <c r="E61" s="19" t="n"/>
      <c r="F61" s="28" t="n"/>
      <c r="G61" s="20" t="n"/>
    </row>
    <row r="62">
      <c r="A62" s="27" t="n"/>
      <c r="B62" s="19" t="n"/>
      <c r="C62" s="19" t="n"/>
      <c r="D62" s="19" t="n"/>
      <c r="E62" s="19" t="n"/>
      <c r="F62" s="28" t="n"/>
      <c r="G62" s="20" t="n"/>
    </row>
    <row r="63">
      <c r="A63" s="27" t="n"/>
      <c r="B63" s="19" t="n"/>
      <c r="C63" s="19" t="n"/>
      <c r="D63" s="19" t="n"/>
      <c r="E63" s="19" t="n"/>
      <c r="F63" s="28" t="n"/>
      <c r="G63" s="20" t="n"/>
    </row>
    <row r="64">
      <c r="A64" s="27" t="n"/>
      <c r="B64" s="19" t="n"/>
      <c r="C64" s="19" t="n"/>
      <c r="D64" s="19" t="n"/>
      <c r="E64" s="19" t="n"/>
      <c r="F64" s="28" t="n"/>
      <c r="G64" s="20" t="n"/>
    </row>
    <row r="65">
      <c r="A65" s="27" t="n"/>
      <c r="B65" s="19" t="n"/>
      <c r="C65" s="19" t="n"/>
      <c r="D65" s="19" t="n"/>
      <c r="E65" s="19" t="n"/>
      <c r="F65" s="28" t="n"/>
      <c r="G65" s="20" t="n"/>
    </row>
    <row r="66">
      <c r="A66" s="27" t="n"/>
      <c r="B66" s="19" t="n"/>
      <c r="C66" s="19" t="n"/>
      <c r="D66" s="19" t="n"/>
      <c r="E66" s="19" t="n"/>
      <c r="F66" s="28" t="n"/>
      <c r="G66" s="20" t="n"/>
    </row>
    <row r="67">
      <c r="A67" s="27" t="n"/>
      <c r="B67" s="19" t="n"/>
      <c r="C67" s="19" t="n"/>
      <c r="D67" s="19" t="n"/>
      <c r="E67" s="19" t="n"/>
      <c r="F67" s="28" t="n"/>
      <c r="G67" s="20" t="n"/>
    </row>
    <row r="68">
      <c r="A68" s="27" t="n"/>
      <c r="B68" s="19" t="n"/>
      <c r="C68" s="19" t="n"/>
      <c r="D68" s="19" t="n"/>
      <c r="E68" s="19" t="n"/>
      <c r="F68" s="28" t="n"/>
      <c r="G68" s="20" t="n"/>
    </row>
    <row r="69">
      <c r="A69" s="27" t="n"/>
      <c r="B69" s="19" t="n"/>
      <c r="C69" s="19" t="n"/>
      <c r="D69" s="19" t="n"/>
      <c r="E69" s="19" t="n"/>
      <c r="F69" s="28" t="n"/>
      <c r="G69" s="20" t="n"/>
    </row>
    <row r="70">
      <c r="A70" s="27" t="n"/>
      <c r="B70" s="19" t="n"/>
      <c r="C70" s="19" t="n"/>
      <c r="D70" s="19" t="n"/>
      <c r="E70" s="19" t="n"/>
      <c r="F70" s="28" t="n"/>
      <c r="G70" s="20" t="n"/>
    </row>
    <row r="71">
      <c r="A71" s="27" t="n"/>
      <c r="B71" s="19" t="n"/>
      <c r="C71" s="19" t="n"/>
      <c r="D71" s="19" t="n"/>
      <c r="E71" s="19" t="n"/>
      <c r="F71" s="28" t="n"/>
      <c r="G71" s="20" t="n"/>
    </row>
    <row r="72">
      <c r="A72" s="27" t="n"/>
      <c r="B72" s="19" t="n"/>
      <c r="C72" s="19" t="n"/>
      <c r="D72" s="19" t="n"/>
      <c r="E72" s="19" t="n"/>
      <c r="F72" s="28" t="n"/>
      <c r="G72" s="20" t="n"/>
    </row>
    <row r="73">
      <c r="A73" s="27" t="n"/>
      <c r="B73" s="19" t="n"/>
      <c r="C73" s="19" t="n"/>
      <c r="D73" s="19" t="n"/>
      <c r="E73" s="19" t="n"/>
      <c r="F73" s="28" t="n"/>
      <c r="G73" s="20" t="n"/>
    </row>
    <row r="74">
      <c r="A74" s="27" t="n"/>
      <c r="B74" s="19" t="n"/>
      <c r="C74" s="19" t="n"/>
      <c r="D74" s="19" t="n"/>
      <c r="E74" s="19" t="n"/>
      <c r="F74" s="28" t="n"/>
      <c r="G74" s="20" t="n"/>
    </row>
    <row r="75">
      <c r="A75" s="27" t="n"/>
      <c r="B75" s="19" t="n"/>
      <c r="C75" s="19" t="n"/>
      <c r="D75" s="19" t="n"/>
      <c r="E75" s="19" t="n"/>
      <c r="F75" s="28" t="n"/>
      <c r="G75" s="20" t="n"/>
    </row>
    <row r="76">
      <c r="A76" s="27" t="n"/>
      <c r="B76" s="19" t="n"/>
      <c r="C76" s="19" t="n"/>
      <c r="D76" s="19" t="n"/>
      <c r="E76" s="19" t="n"/>
      <c r="F76" s="28" t="n"/>
      <c r="G76" s="20" t="n"/>
    </row>
    <row r="77">
      <c r="A77" s="27" t="n"/>
      <c r="B77" s="19" t="n"/>
      <c r="C77" s="19" t="n"/>
      <c r="D77" s="19" t="n"/>
      <c r="E77" s="19" t="n"/>
      <c r="F77" s="28" t="n"/>
      <c r="G77" s="20" t="n"/>
    </row>
    <row r="78">
      <c r="A78" s="27" t="n"/>
      <c r="B78" s="19" t="n"/>
      <c r="C78" s="19" t="n"/>
      <c r="D78" s="19" t="n"/>
      <c r="E78" s="19" t="n"/>
      <c r="F78" s="28" t="n"/>
      <c r="G78" s="20" t="n"/>
    </row>
    <row r="79">
      <c r="A79" s="27" t="n"/>
      <c r="B79" s="19" t="n"/>
      <c r="C79" s="19" t="n"/>
      <c r="D79" s="19" t="n"/>
      <c r="E79" s="19" t="n"/>
      <c r="F79" s="28" t="n"/>
      <c r="G79" s="20" t="n"/>
    </row>
    <row r="80">
      <c r="A80" s="27" t="n"/>
      <c r="B80" s="19" t="n"/>
      <c r="C80" s="19" t="n"/>
      <c r="D80" s="19" t="n"/>
      <c r="E80" s="19" t="n"/>
      <c r="F80" s="28" t="n"/>
      <c r="G80" s="20" t="n"/>
    </row>
    <row r="81">
      <c r="A81" s="27" t="n"/>
      <c r="B81" s="19" t="n"/>
      <c r="C81" s="19" t="n"/>
      <c r="D81" s="19" t="n"/>
      <c r="E81" s="19" t="n"/>
      <c r="F81" s="28" t="n"/>
      <c r="G81" s="20" t="n"/>
    </row>
    <row r="82">
      <c r="A82" s="27" t="n"/>
      <c r="B82" s="19" t="n"/>
      <c r="C82" s="19" t="n"/>
      <c r="D82" s="19" t="n"/>
      <c r="E82" s="19" t="n"/>
      <c r="F82" s="28" t="n"/>
      <c r="G82" s="20" t="n"/>
    </row>
    <row r="83">
      <c r="A83" s="27" t="n"/>
      <c r="B83" s="19" t="n"/>
      <c r="C83" s="19" t="n"/>
      <c r="D83" s="19" t="n"/>
      <c r="E83" s="19" t="n"/>
      <c r="F83" s="28" t="n"/>
      <c r="G83" s="20" t="n"/>
    </row>
    <row r="84">
      <c r="A84" s="27" t="n"/>
      <c r="B84" s="19" t="n"/>
      <c r="C84" s="19" t="n"/>
      <c r="D84" s="19" t="n"/>
      <c r="E84" s="19" t="n"/>
      <c r="F84" s="28" t="n"/>
      <c r="G84" s="20" t="n"/>
    </row>
    <row r="85">
      <c r="A85" s="27" t="n"/>
      <c r="B85" s="19" t="n"/>
      <c r="C85" s="19" t="n"/>
      <c r="D85" s="19" t="n"/>
      <c r="E85" s="19" t="n"/>
      <c r="F85" s="28" t="n"/>
      <c r="G85" s="20" t="n"/>
    </row>
    <row r="86">
      <c r="A86" s="27" t="n"/>
      <c r="B86" s="19" t="n"/>
      <c r="C86" s="19" t="n"/>
      <c r="D86" s="19" t="n"/>
      <c r="E86" s="19" t="n"/>
      <c r="F86" s="28" t="n"/>
      <c r="G86" s="20" t="n"/>
    </row>
    <row r="87">
      <c r="A87" s="27" t="n"/>
      <c r="B87" s="19" t="n"/>
      <c r="C87" s="19" t="n"/>
      <c r="D87" s="19" t="n"/>
      <c r="E87" s="19" t="n"/>
      <c r="F87" s="28" t="n"/>
      <c r="G87" s="20" t="n"/>
    </row>
    <row r="88">
      <c r="A88" s="27" t="n"/>
      <c r="B88" s="19" t="n"/>
      <c r="C88" s="19" t="n"/>
      <c r="D88" s="19" t="n"/>
      <c r="E88" s="19" t="n"/>
      <c r="F88" s="28" t="n"/>
      <c r="G88" s="20" t="n"/>
    </row>
    <row r="89">
      <c r="A89" s="27" t="n"/>
      <c r="B89" s="19" t="n"/>
      <c r="C89" s="19" t="n"/>
      <c r="D89" s="19" t="n"/>
      <c r="E89" s="19" t="n"/>
      <c r="F89" s="28" t="n"/>
      <c r="G89" s="20" t="n"/>
    </row>
    <row r="90">
      <c r="A90" s="27" t="n"/>
      <c r="B90" s="19" t="n"/>
      <c r="C90" s="19" t="n"/>
      <c r="D90" s="19" t="n"/>
      <c r="E90" s="19" t="n"/>
      <c r="F90" s="28" t="n"/>
      <c r="G90" s="20" t="n"/>
    </row>
    <row r="91">
      <c r="A91" s="27" t="n"/>
      <c r="B91" s="19" t="n"/>
      <c r="C91" s="19" t="n"/>
      <c r="D91" s="19" t="n"/>
      <c r="E91" s="19" t="n"/>
      <c r="F91" s="28" t="n"/>
      <c r="G91" s="20" t="n"/>
    </row>
    <row r="92">
      <c r="A92" s="27" t="n"/>
      <c r="B92" s="19" t="n"/>
      <c r="C92" s="19" t="n"/>
      <c r="D92" s="19" t="n"/>
      <c r="E92" s="19" t="n"/>
      <c r="F92" s="28" t="n"/>
      <c r="G92" s="20" t="n"/>
    </row>
    <row r="93">
      <c r="A93" s="27" t="n"/>
      <c r="B93" s="19" t="n"/>
      <c r="C93" s="19" t="n"/>
      <c r="D93" s="19" t="n"/>
      <c r="E93" s="19" t="n"/>
      <c r="F93" s="28" t="n"/>
      <c r="G93" s="20" t="n"/>
    </row>
    <row r="94">
      <c r="A94" s="27" t="n"/>
      <c r="B94" s="19" t="n"/>
      <c r="C94" s="19" t="n"/>
      <c r="D94" s="19" t="n"/>
      <c r="E94" s="19" t="n"/>
      <c r="F94" s="28" t="n"/>
      <c r="G94" s="20" t="n"/>
    </row>
    <row r="95">
      <c r="A95" s="27" t="n"/>
      <c r="B95" s="19" t="n"/>
      <c r="C95" s="19" t="n"/>
      <c r="D95" s="19" t="n"/>
      <c r="E95" s="19" t="n"/>
      <c r="F95" s="28" t="n"/>
      <c r="G95" s="20" t="n"/>
    </row>
    <row r="96">
      <c r="A96" s="27" t="n"/>
      <c r="B96" s="19" t="n"/>
      <c r="C96" s="19" t="n"/>
      <c r="D96" s="19" t="n"/>
      <c r="E96" s="19" t="n"/>
      <c r="F96" s="28" t="n"/>
      <c r="G96" s="20" t="n"/>
    </row>
    <row r="97">
      <c r="A97" s="27" t="n"/>
      <c r="B97" s="19" t="n"/>
      <c r="C97" s="19" t="n"/>
      <c r="D97" s="19" t="n"/>
      <c r="E97" s="19" t="n"/>
      <c r="F97" s="28" t="n"/>
      <c r="G97" s="20" t="n"/>
    </row>
    <row r="98">
      <c r="A98" s="27" t="n"/>
      <c r="B98" s="19" t="n"/>
      <c r="C98" s="19" t="n"/>
      <c r="D98" s="19" t="n"/>
      <c r="E98" s="19" t="n"/>
      <c r="F98" s="28" t="n"/>
      <c r="G98" s="20" t="n"/>
    </row>
    <row r="99">
      <c r="A99" s="27" t="n"/>
      <c r="B99" s="19" t="n"/>
      <c r="C99" s="19" t="n"/>
      <c r="D99" s="19" t="n"/>
      <c r="E99" s="19" t="n"/>
      <c r="F99" s="28" t="n"/>
      <c r="G99" s="20" t="n"/>
    </row>
    <row r="100">
      <c r="A100" s="27" t="n"/>
      <c r="B100" s="19" t="n"/>
      <c r="C100" s="19" t="n"/>
      <c r="D100" s="19" t="n"/>
      <c r="E100" s="19" t="n"/>
      <c r="F100" s="28" t="n"/>
      <c r="G100" s="20" t="n"/>
    </row>
    <row r="101">
      <c r="A101" s="27" t="n"/>
      <c r="B101" s="19" t="n"/>
      <c r="C101" s="19" t="n"/>
      <c r="D101" s="19" t="n"/>
      <c r="E101" s="19" t="n"/>
      <c r="F101" s="28" t="n"/>
      <c r="G101" s="20" t="n"/>
    </row>
    <row r="102">
      <c r="A102" s="27" t="n"/>
      <c r="B102" s="19" t="n"/>
      <c r="C102" s="19" t="n"/>
      <c r="D102" s="19" t="n"/>
      <c r="E102" s="19" t="n"/>
      <c r="F102" s="28" t="n"/>
      <c r="G102" s="20" t="n"/>
    </row>
    <row r="103">
      <c r="A103" s="27" t="n"/>
      <c r="B103" s="19" t="n"/>
      <c r="C103" s="19" t="n"/>
      <c r="D103" s="19" t="n"/>
      <c r="E103" s="19" t="n"/>
      <c r="F103" s="28" t="n"/>
      <c r="G103" s="20" t="n"/>
    </row>
    <row r="104">
      <c r="A104" s="27" t="n"/>
      <c r="B104" s="19" t="n"/>
      <c r="C104" s="19" t="n"/>
      <c r="D104" s="19" t="n"/>
      <c r="E104" s="19" t="n"/>
      <c r="F104" s="28" t="n"/>
      <c r="G104" s="20" t="n"/>
    </row>
    <row r="105">
      <c r="A105" s="27" t="n"/>
      <c r="B105" s="19" t="n"/>
      <c r="C105" s="19" t="n"/>
      <c r="D105" s="19" t="n"/>
      <c r="E105" s="19" t="n"/>
      <c r="F105" s="28" t="n"/>
      <c r="G105" s="20" t="n"/>
    </row>
    <row r="106">
      <c r="A106" s="27" t="n"/>
      <c r="B106" s="19" t="n"/>
      <c r="C106" s="19" t="n"/>
      <c r="D106" s="19" t="n"/>
      <c r="E106" s="19" t="n"/>
      <c r="F106" s="28" t="n"/>
      <c r="G106" s="20" t="n"/>
    </row>
    <row r="107">
      <c r="A107" s="27" t="n"/>
      <c r="B107" s="19" t="n"/>
      <c r="C107" s="19" t="n"/>
      <c r="D107" s="19" t="n"/>
      <c r="E107" s="19" t="n"/>
      <c r="F107" s="28" t="n"/>
      <c r="G107" s="20" t="n"/>
    </row>
    <row r="108">
      <c r="A108" s="27" t="n"/>
      <c r="B108" s="19" t="n"/>
      <c r="C108" s="19" t="n"/>
      <c r="D108" s="19" t="n"/>
      <c r="E108" s="19" t="n"/>
      <c r="F108" s="28" t="n"/>
      <c r="G108" s="20" t="n"/>
    </row>
    <row r="109">
      <c r="A109" s="27" t="n"/>
      <c r="B109" s="19" t="n"/>
      <c r="C109" s="19" t="n"/>
      <c r="D109" s="19" t="n"/>
      <c r="E109" s="19" t="n"/>
      <c r="F109" s="28" t="n"/>
      <c r="G109" s="20" t="n"/>
    </row>
    <row r="110">
      <c r="A110" s="27" t="n"/>
      <c r="B110" s="19" t="n"/>
      <c r="C110" s="19" t="n"/>
      <c r="D110" s="19" t="n"/>
      <c r="E110" s="19" t="n"/>
      <c r="F110" s="28" t="n"/>
      <c r="G110" s="20" t="n"/>
    </row>
    <row r="111">
      <c r="A111" s="27" t="n"/>
      <c r="B111" s="19" t="n"/>
      <c r="C111" s="19" t="n"/>
      <c r="D111" s="19" t="n"/>
      <c r="E111" s="19" t="n"/>
      <c r="F111" s="28" t="n"/>
      <c r="G111" s="20" t="n"/>
    </row>
    <row r="112">
      <c r="A112" s="27" t="n"/>
      <c r="B112" s="19" t="n"/>
      <c r="C112" s="19" t="n"/>
      <c r="D112" s="19" t="n"/>
      <c r="E112" s="19" t="n"/>
      <c r="F112" s="28" t="n"/>
      <c r="G112" s="20" t="n"/>
    </row>
    <row r="113">
      <c r="A113" s="27" t="n"/>
      <c r="B113" s="19" t="n"/>
      <c r="C113" s="19" t="n"/>
      <c r="D113" s="19" t="n"/>
      <c r="E113" s="19" t="n"/>
      <c r="F113" s="28" t="n"/>
      <c r="G113" s="20" t="n"/>
    </row>
    <row r="114">
      <c r="A114" s="27" t="n"/>
      <c r="B114" s="19" t="n"/>
      <c r="C114" s="19" t="n"/>
      <c r="D114" s="19" t="n"/>
      <c r="E114" s="19" t="n"/>
      <c r="F114" s="28" t="n"/>
      <c r="G114" s="20" t="n"/>
    </row>
    <row r="115">
      <c r="A115" s="27" t="n"/>
      <c r="B115" s="19" t="n"/>
      <c r="C115" s="19" t="n"/>
      <c r="D115" s="19" t="n"/>
      <c r="E115" s="19" t="n"/>
      <c r="F115" s="28" t="n"/>
      <c r="G115" s="20" t="n"/>
    </row>
    <row r="116">
      <c r="A116" s="27" t="n"/>
      <c r="B116" s="19" t="n"/>
      <c r="C116" s="19" t="n"/>
      <c r="D116" s="19" t="n"/>
      <c r="E116" s="19" t="n"/>
      <c r="F116" s="28" t="n"/>
      <c r="G116" s="20" t="n"/>
    </row>
    <row r="117">
      <c r="A117" s="27" t="n"/>
      <c r="B117" s="19" t="n"/>
      <c r="C117" s="19" t="n"/>
      <c r="D117" s="19" t="n"/>
      <c r="E117" s="19" t="n"/>
      <c r="F117" s="28" t="n"/>
      <c r="G117" s="20" t="n"/>
    </row>
    <row r="118">
      <c r="A118" s="27" t="n"/>
      <c r="B118" s="19" t="n"/>
      <c r="C118" s="19" t="n"/>
      <c r="D118" s="19" t="n"/>
      <c r="E118" s="19" t="n"/>
      <c r="F118" s="28" t="n"/>
      <c r="G118" s="20" t="n"/>
    </row>
    <row r="119">
      <c r="A119" s="27" t="n"/>
      <c r="B119" s="19" t="n"/>
      <c r="C119" s="19" t="n"/>
      <c r="D119" s="19" t="n"/>
      <c r="E119" s="19" t="n"/>
      <c r="F119" s="28" t="n"/>
      <c r="G119" s="20" t="n"/>
    </row>
    <row r="120">
      <c r="A120" s="27" t="n"/>
      <c r="B120" s="19" t="n"/>
      <c r="C120" s="19" t="n"/>
      <c r="D120" s="19" t="n"/>
      <c r="E120" s="19" t="n"/>
      <c r="F120" s="28" t="n"/>
      <c r="G120" s="20" t="n"/>
    </row>
    <row r="121">
      <c r="A121" s="27" t="n"/>
      <c r="B121" s="19" t="n"/>
      <c r="C121" s="19" t="n"/>
      <c r="D121" s="19" t="n"/>
      <c r="E121" s="19" t="n"/>
      <c r="F121" s="28" t="n"/>
      <c r="G121" s="20" t="n"/>
    </row>
    <row r="122">
      <c r="A122" s="27" t="n"/>
      <c r="B122" s="19" t="n"/>
      <c r="C122" s="19" t="n"/>
      <c r="D122" s="19" t="n"/>
      <c r="E122" s="19" t="n"/>
      <c r="F122" s="28" t="n"/>
      <c r="G122" s="20" t="n"/>
    </row>
    <row r="123">
      <c r="A123" s="27" t="n"/>
      <c r="B123" s="19" t="n"/>
      <c r="C123" s="19" t="n"/>
      <c r="D123" s="19" t="n"/>
      <c r="E123" s="19" t="n"/>
      <c r="F123" s="28" t="n"/>
      <c r="G123" s="20" t="n"/>
    </row>
    <row r="124">
      <c r="A124" s="27" t="n"/>
      <c r="B124" s="19" t="n"/>
      <c r="C124" s="19" t="n"/>
      <c r="D124" s="19" t="n"/>
      <c r="E124" s="19" t="n"/>
      <c r="F124" s="28" t="n"/>
      <c r="G124" s="20" t="n"/>
    </row>
    <row r="125">
      <c r="A125" s="27" t="n"/>
      <c r="B125" s="19" t="n"/>
      <c r="C125" s="19" t="n"/>
      <c r="D125" s="19" t="n"/>
      <c r="E125" s="19" t="n"/>
      <c r="F125" s="28" t="n"/>
      <c r="G125" s="20" t="n"/>
    </row>
    <row r="126">
      <c r="A126" s="27" t="n"/>
      <c r="B126" s="19" t="n"/>
      <c r="C126" s="19" t="n"/>
      <c r="D126" s="19" t="n"/>
      <c r="E126" s="19" t="n"/>
      <c r="F126" s="28" t="n"/>
      <c r="G126" s="20" t="n"/>
    </row>
    <row r="127">
      <c r="A127" s="27" t="n"/>
      <c r="B127" s="19" t="n"/>
      <c r="C127" s="19" t="n"/>
      <c r="D127" s="19" t="n"/>
      <c r="E127" s="19" t="n"/>
      <c r="F127" s="28" t="n"/>
      <c r="G127" s="20" t="n"/>
    </row>
    <row r="128">
      <c r="A128" s="27" t="n"/>
      <c r="B128" s="19" t="n"/>
      <c r="C128" s="19" t="n"/>
      <c r="D128" s="19" t="n"/>
      <c r="E128" s="19" t="n"/>
      <c r="F128" s="28" t="n"/>
      <c r="G128" s="20" t="n"/>
    </row>
    <row r="129">
      <c r="A129" s="27" t="n"/>
      <c r="B129" s="19" t="n"/>
      <c r="C129" s="19" t="n"/>
      <c r="D129" s="19" t="n"/>
      <c r="E129" s="19" t="n"/>
      <c r="F129" s="28" t="n"/>
      <c r="G129" s="20" t="n"/>
    </row>
    <row r="130">
      <c r="A130" s="27" t="n"/>
      <c r="B130" s="19" t="n"/>
      <c r="C130" s="19" t="n"/>
      <c r="D130" s="19" t="n"/>
      <c r="E130" s="19" t="n"/>
      <c r="F130" s="28" t="n"/>
      <c r="G130" s="20" t="n"/>
    </row>
    <row r="131">
      <c r="A131" s="27" t="n"/>
      <c r="B131" s="19" t="n"/>
      <c r="C131" s="19" t="n"/>
      <c r="D131" s="19" t="n"/>
      <c r="E131" s="19" t="n"/>
      <c r="F131" s="28" t="n"/>
      <c r="G131" s="20" t="n"/>
    </row>
    <row r="132">
      <c r="A132" s="27" t="n"/>
      <c r="B132" s="19" t="n"/>
      <c r="C132" s="19" t="n"/>
      <c r="D132" s="19" t="n"/>
      <c r="E132" s="19" t="n"/>
      <c r="F132" s="28" t="n"/>
      <c r="G132" s="20" t="n"/>
    </row>
    <row r="133">
      <c r="A133" s="27" t="n"/>
      <c r="B133" s="19" t="n"/>
      <c r="C133" s="19" t="n"/>
      <c r="D133" s="19" t="n"/>
      <c r="E133" s="19" t="n"/>
      <c r="F133" s="28" t="n"/>
      <c r="G133" s="20" t="n"/>
    </row>
    <row r="134">
      <c r="A134" s="27" t="n"/>
      <c r="B134" s="19" t="n"/>
      <c r="C134" s="19" t="n"/>
      <c r="D134" s="19" t="n"/>
      <c r="E134" s="19" t="n"/>
      <c r="F134" s="28" t="n"/>
      <c r="G134" s="20" t="n"/>
    </row>
    <row r="135">
      <c r="A135" s="27" t="n"/>
      <c r="B135" s="19" t="n"/>
      <c r="C135" s="19" t="n"/>
      <c r="D135" s="19" t="n"/>
      <c r="E135" s="19" t="n"/>
      <c r="F135" s="28" t="n"/>
      <c r="G135" s="20" t="n"/>
    </row>
    <row r="136">
      <c r="A136" s="27" t="n"/>
      <c r="B136" s="19" t="n"/>
      <c r="C136" s="19" t="n"/>
      <c r="D136" s="19" t="n"/>
      <c r="E136" s="19" t="n"/>
      <c r="F136" s="28" t="n"/>
      <c r="G136" s="20" t="n"/>
    </row>
    <row r="137">
      <c r="A137" s="27" t="n"/>
      <c r="B137" s="19" t="n"/>
      <c r="C137" s="19" t="n"/>
      <c r="D137" s="19" t="n"/>
      <c r="E137" s="19" t="n"/>
      <c r="F137" s="28" t="n"/>
      <c r="G137" s="20" t="n"/>
    </row>
    <row r="138">
      <c r="A138" s="27" t="n"/>
      <c r="B138" s="19" t="n"/>
      <c r="C138" s="19" t="n"/>
      <c r="D138" s="19" t="n"/>
      <c r="E138" s="19" t="n"/>
      <c r="F138" s="28" t="n"/>
      <c r="G138" s="20" t="n"/>
    </row>
    <row r="139">
      <c r="A139" s="27" t="n"/>
      <c r="B139" s="19" t="n"/>
      <c r="C139" s="19" t="n"/>
      <c r="D139" s="19" t="n"/>
      <c r="E139" s="19" t="n"/>
      <c r="F139" s="28" t="n"/>
      <c r="G139" s="20" t="n"/>
    </row>
    <row r="140">
      <c r="A140" s="27" t="n"/>
      <c r="B140" s="19" t="n"/>
      <c r="C140" s="19" t="n"/>
      <c r="D140" s="19" t="n"/>
      <c r="E140" s="19" t="n"/>
      <c r="F140" s="28" t="n"/>
      <c r="G140" s="20" t="n"/>
    </row>
    <row r="141">
      <c r="A141" s="27" t="n"/>
      <c r="B141" s="19" t="n"/>
      <c r="C141" s="19" t="n"/>
      <c r="D141" s="19" t="n"/>
      <c r="E141" s="19" t="n"/>
      <c r="F141" s="28" t="n"/>
      <c r="G141" s="20" t="n"/>
    </row>
    <row r="142">
      <c r="A142" s="27" t="n"/>
      <c r="B142" s="19" t="n"/>
      <c r="C142" s="19" t="n"/>
      <c r="D142" s="19" t="n"/>
      <c r="E142" s="19" t="n"/>
      <c r="F142" s="28" t="n"/>
      <c r="G142" s="20" t="n"/>
    </row>
    <row r="143">
      <c r="A143" s="27" t="n"/>
      <c r="B143" s="19" t="n"/>
      <c r="C143" s="19" t="n"/>
      <c r="D143" s="19" t="n"/>
      <c r="E143" s="19" t="n"/>
      <c r="F143" s="28" t="n"/>
      <c r="G143" s="20" t="n"/>
    </row>
    <row r="144">
      <c r="A144" s="27" t="n"/>
      <c r="B144" s="19" t="n"/>
      <c r="C144" s="19" t="n"/>
      <c r="D144" s="19" t="n"/>
      <c r="E144" s="19" t="n"/>
      <c r="F144" s="28" t="n"/>
      <c r="G144" s="20" t="n"/>
    </row>
    <row r="145">
      <c r="A145" s="27" t="n"/>
      <c r="B145" s="19" t="n"/>
      <c r="C145" s="19" t="n"/>
      <c r="D145" s="19" t="n"/>
      <c r="E145" s="19" t="n"/>
      <c r="F145" s="28" t="n"/>
      <c r="G145" s="20" t="n"/>
    </row>
    <row r="146">
      <c r="A146" s="27" t="n"/>
      <c r="B146" s="19" t="n"/>
      <c r="C146" s="19" t="n"/>
      <c r="D146" s="19" t="n"/>
      <c r="E146" s="19" t="n"/>
      <c r="F146" s="28" t="n"/>
      <c r="G146" s="20" t="n"/>
    </row>
    <row r="147">
      <c r="A147" s="27" t="n"/>
      <c r="B147" s="19" t="n"/>
      <c r="C147" s="19" t="n"/>
      <c r="D147" s="19" t="n"/>
      <c r="E147" s="19" t="n"/>
      <c r="F147" s="28" t="n"/>
      <c r="G147" s="20" t="n"/>
    </row>
    <row r="148">
      <c r="A148" s="27" t="n"/>
      <c r="B148" s="19" t="n"/>
      <c r="C148" s="19" t="n"/>
      <c r="D148" s="19" t="n"/>
      <c r="E148" s="19" t="n"/>
      <c r="F148" s="28" t="n"/>
      <c r="G148" s="20" t="n"/>
    </row>
    <row r="149">
      <c r="A149" s="27" t="n"/>
      <c r="B149" s="19" t="n"/>
      <c r="C149" s="19" t="n"/>
      <c r="D149" s="19" t="n"/>
      <c r="E149" s="19" t="n"/>
      <c r="F149" s="28" t="n"/>
      <c r="G149" s="20" t="n"/>
    </row>
    <row r="150">
      <c r="A150" s="27" t="n"/>
      <c r="B150" s="19" t="n"/>
      <c r="C150" s="19" t="n"/>
      <c r="D150" s="19" t="n"/>
      <c r="E150" s="19" t="n"/>
      <c r="F150" s="28" t="n"/>
      <c r="G150" s="20" t="n"/>
    </row>
    <row r="151">
      <c r="A151" s="27" t="n"/>
      <c r="B151" s="19" t="n"/>
      <c r="C151" s="19" t="n"/>
      <c r="D151" s="19" t="n"/>
      <c r="E151" s="19" t="n"/>
      <c r="F151" s="28" t="n"/>
      <c r="G151" s="20" t="n"/>
    </row>
    <row r="152">
      <c r="A152" s="27" t="n"/>
      <c r="B152" s="19" t="n"/>
      <c r="C152" s="19" t="n"/>
      <c r="D152" s="19" t="n"/>
      <c r="E152" s="19" t="n"/>
      <c r="F152" s="28" t="n"/>
      <c r="G152" s="20" t="n"/>
    </row>
    <row r="153">
      <c r="A153" s="27" t="n"/>
      <c r="B153" s="19" t="n"/>
      <c r="C153" s="19" t="n"/>
      <c r="D153" s="19" t="n"/>
      <c r="E153" s="19" t="n"/>
      <c r="F153" s="28" t="n"/>
      <c r="G153" s="20" t="n"/>
    </row>
    <row r="154">
      <c r="A154" s="27" t="n"/>
      <c r="B154" s="19" t="n"/>
      <c r="C154" s="19" t="n"/>
      <c r="D154" s="19" t="n"/>
      <c r="E154" s="19" t="n"/>
      <c r="F154" s="28" t="n"/>
      <c r="G154" s="20" t="n"/>
    </row>
    <row r="155">
      <c r="A155" s="27" t="n"/>
      <c r="B155" s="19" t="n"/>
      <c r="C155" s="19" t="n"/>
      <c r="D155" s="19" t="n"/>
      <c r="E155" s="19" t="n"/>
      <c r="F155" s="28" t="n"/>
      <c r="G155" s="20" t="n"/>
    </row>
    <row r="156">
      <c r="A156" s="27" t="n"/>
      <c r="B156" s="19" t="n"/>
      <c r="C156" s="19" t="n"/>
      <c r="D156" s="19" t="n"/>
      <c r="E156" s="19" t="n"/>
      <c r="F156" s="28" t="n"/>
      <c r="G156" s="20" t="n"/>
    </row>
    <row r="157">
      <c r="A157" s="27" t="n"/>
      <c r="B157" s="19" t="n"/>
      <c r="C157" s="19" t="n"/>
      <c r="D157" s="19" t="n"/>
      <c r="E157" s="19" t="n"/>
      <c r="F157" s="28" t="n"/>
      <c r="G157" s="20" t="n"/>
    </row>
    <row r="158">
      <c r="A158" s="27" t="n"/>
      <c r="B158" s="19" t="n"/>
      <c r="C158" s="19" t="n"/>
      <c r="D158" s="19" t="n"/>
      <c r="E158" s="19" t="n"/>
      <c r="F158" s="28" t="n"/>
      <c r="G158" s="20" t="n"/>
    </row>
    <row r="159">
      <c r="A159" s="27" t="n"/>
      <c r="B159" s="19" t="n"/>
      <c r="C159" s="19" t="n"/>
      <c r="D159" s="19" t="n"/>
      <c r="E159" s="19" t="n"/>
      <c r="F159" s="28" t="n"/>
      <c r="G159" s="20" t="n"/>
    </row>
    <row r="160">
      <c r="A160" s="27" t="n"/>
      <c r="B160" s="19" t="n"/>
      <c r="C160" s="19" t="n"/>
      <c r="D160" s="19" t="n"/>
      <c r="E160" s="19" t="n"/>
      <c r="F160" s="28" t="n"/>
      <c r="G160" s="20" t="n"/>
    </row>
    <row r="161">
      <c r="A161" s="27" t="n"/>
      <c r="B161" s="19" t="n"/>
      <c r="C161" s="19" t="n"/>
      <c r="D161" s="19" t="n"/>
      <c r="E161" s="19" t="n"/>
      <c r="F161" s="28" t="n"/>
      <c r="G161" s="20" t="n"/>
    </row>
    <row r="162">
      <c r="A162" s="27" t="n"/>
      <c r="B162" s="19" t="n"/>
      <c r="C162" s="19" t="n"/>
      <c r="D162" s="19" t="n"/>
      <c r="E162" s="19" t="n"/>
      <c r="F162" s="28" t="n"/>
      <c r="G162" s="20" t="n"/>
    </row>
    <row r="163">
      <c r="A163" s="27" t="n"/>
      <c r="B163" s="19" t="n"/>
      <c r="C163" s="19" t="n"/>
      <c r="D163" s="19" t="n"/>
      <c r="E163" s="19" t="n"/>
      <c r="F163" s="28" t="n"/>
      <c r="G163" s="20" t="n"/>
    </row>
    <row r="164">
      <c r="A164" s="27" t="n"/>
      <c r="B164" s="19" t="n"/>
      <c r="C164" s="19" t="n"/>
      <c r="D164" s="19" t="n"/>
      <c r="E164" s="19" t="n"/>
      <c r="F164" s="28" t="n"/>
      <c r="G164" s="20" t="n"/>
    </row>
    <row r="165">
      <c r="A165" s="27" t="n"/>
      <c r="B165" s="19" t="n"/>
      <c r="C165" s="19" t="n"/>
      <c r="D165" s="19" t="n"/>
      <c r="E165" s="19" t="n"/>
      <c r="F165" s="28" t="n"/>
      <c r="G165" s="20" t="n"/>
    </row>
    <row r="166">
      <c r="A166" s="27" t="n"/>
      <c r="B166" s="19" t="n"/>
      <c r="C166" s="19" t="n"/>
      <c r="D166" s="19" t="n"/>
      <c r="E166" s="19" t="n"/>
      <c r="F166" s="28" t="n"/>
      <c r="G166" s="20" t="n"/>
    </row>
    <row r="167">
      <c r="A167" s="27" t="n"/>
      <c r="B167" s="19" t="n"/>
      <c r="C167" s="19" t="n"/>
      <c r="D167" s="19" t="n"/>
      <c r="E167" s="19" t="n"/>
      <c r="F167" s="28" t="n"/>
      <c r="G167" s="20" t="n"/>
    </row>
    <row r="168">
      <c r="A168" s="27" t="n"/>
      <c r="B168" s="19" t="n"/>
      <c r="C168" s="19" t="n"/>
      <c r="D168" s="19" t="n"/>
      <c r="E168" s="19" t="n"/>
      <c r="F168" s="28" t="n"/>
      <c r="G168" s="20" t="n"/>
    </row>
    <row r="169">
      <c r="A169" s="27" t="n"/>
      <c r="B169" s="19" t="n"/>
      <c r="C169" s="19" t="n"/>
      <c r="D169" s="19" t="n"/>
      <c r="E169" s="19" t="n"/>
      <c r="F169" s="28" t="n"/>
      <c r="G169" s="20" t="n"/>
    </row>
    <row r="170">
      <c r="A170" s="27" t="n"/>
      <c r="B170" s="19" t="n"/>
      <c r="C170" s="19" t="n"/>
      <c r="D170" s="19" t="n"/>
      <c r="E170" s="19" t="n"/>
      <c r="F170" s="28" t="n"/>
      <c r="G170" s="20" t="n"/>
    </row>
    <row r="171">
      <c r="A171" s="27" t="n"/>
      <c r="B171" s="19" t="n"/>
      <c r="C171" s="19" t="n"/>
      <c r="D171" s="19" t="n"/>
      <c r="E171" s="19" t="n"/>
      <c r="F171" s="28" t="n"/>
      <c r="G171" s="20" t="n"/>
    </row>
    <row r="172">
      <c r="A172" s="27" t="n"/>
      <c r="B172" s="19" t="n"/>
      <c r="C172" s="19" t="n"/>
      <c r="D172" s="19" t="n"/>
      <c r="E172" s="19" t="n"/>
      <c r="F172" s="28" t="n"/>
      <c r="G172" s="20" t="n"/>
    </row>
    <row r="173">
      <c r="A173" s="27" t="n"/>
      <c r="B173" s="19" t="n"/>
      <c r="C173" s="19" t="n"/>
      <c r="D173" s="19" t="n"/>
      <c r="E173" s="19" t="n"/>
      <c r="F173" s="28" t="n"/>
      <c r="G173" s="20" t="n"/>
    </row>
    <row r="174">
      <c r="A174" s="27" t="n"/>
      <c r="B174" s="19" t="n"/>
      <c r="C174" s="19" t="n"/>
      <c r="D174" s="19" t="n"/>
      <c r="E174" s="19" t="n"/>
      <c r="F174" s="28" t="n"/>
      <c r="G174" s="20" t="n"/>
    </row>
    <row r="175">
      <c r="A175" s="27" t="n"/>
      <c r="B175" s="19" t="n"/>
      <c r="C175" s="19" t="n"/>
      <c r="D175" s="19" t="n"/>
      <c r="E175" s="19" t="n"/>
      <c r="F175" s="28" t="n"/>
      <c r="G175" s="20" t="n"/>
    </row>
    <row r="176">
      <c r="A176" s="27" t="n"/>
      <c r="B176" s="19" t="n"/>
      <c r="C176" s="19" t="n"/>
      <c r="D176" s="19" t="n"/>
      <c r="E176" s="19" t="n"/>
      <c r="F176" s="28" t="n"/>
      <c r="G176" s="20" t="n"/>
    </row>
    <row r="177">
      <c r="A177" s="27" t="n"/>
      <c r="B177" s="19" t="n"/>
      <c r="C177" s="19" t="n"/>
      <c r="D177" s="19" t="n"/>
      <c r="E177" s="19" t="n"/>
      <c r="F177" s="28" t="n"/>
      <c r="G177" s="20" t="n"/>
    </row>
    <row r="178">
      <c r="A178" s="27" t="n"/>
      <c r="B178" s="19" t="n"/>
      <c r="C178" s="19" t="n"/>
      <c r="D178" s="19" t="n"/>
      <c r="E178" s="19" t="n"/>
      <c r="F178" s="28" t="n"/>
      <c r="G178" s="20" t="n"/>
    </row>
    <row r="179">
      <c r="A179" s="27" t="n"/>
      <c r="B179" s="19" t="n"/>
      <c r="C179" s="19" t="n"/>
      <c r="D179" s="19" t="n"/>
      <c r="E179" s="19" t="n"/>
      <c r="F179" s="28" t="n"/>
      <c r="G179" s="20" t="n"/>
    </row>
    <row r="180">
      <c r="A180" s="27" t="n"/>
      <c r="B180" s="19" t="n"/>
      <c r="C180" s="19" t="n"/>
      <c r="D180" s="19" t="n"/>
      <c r="E180" s="19" t="n"/>
      <c r="F180" s="28" t="n"/>
      <c r="G180" s="20" t="n"/>
    </row>
    <row r="181">
      <c r="A181" s="27" t="n"/>
      <c r="B181" s="19" t="n"/>
      <c r="C181" s="19" t="n"/>
      <c r="D181" s="19" t="n"/>
      <c r="E181" s="19" t="n"/>
      <c r="F181" s="28" t="n"/>
      <c r="G181" s="20" t="n"/>
    </row>
    <row r="182">
      <c r="A182" s="27" t="n"/>
      <c r="B182" s="19" t="n"/>
      <c r="C182" s="19" t="n"/>
      <c r="D182" s="19" t="n"/>
      <c r="E182" s="19" t="n"/>
      <c r="F182" s="28" t="n"/>
      <c r="G182" s="20" t="n"/>
    </row>
    <row r="183">
      <c r="A183" s="27" t="n"/>
      <c r="B183" s="19" t="n"/>
      <c r="C183" s="19" t="n"/>
      <c r="D183" s="19" t="n"/>
      <c r="E183" s="19" t="n"/>
      <c r="F183" s="28" t="n"/>
      <c r="G183" s="20" t="n"/>
    </row>
    <row r="184">
      <c r="A184" s="27" t="n"/>
      <c r="B184" s="19" t="n"/>
      <c r="C184" s="19" t="n"/>
      <c r="D184" s="19" t="n"/>
      <c r="E184" s="19" t="n"/>
      <c r="F184" s="28" t="n"/>
      <c r="G184" s="20" t="n"/>
    </row>
    <row r="185">
      <c r="A185" s="27" t="n"/>
      <c r="B185" s="19" t="n"/>
      <c r="C185" s="19" t="n"/>
      <c r="D185" s="19" t="n"/>
      <c r="E185" s="19" t="n"/>
      <c r="F185" s="28" t="n"/>
      <c r="G185" s="20" t="n"/>
    </row>
    <row r="186">
      <c r="A186" s="27" t="n"/>
      <c r="B186" s="19" t="n"/>
      <c r="C186" s="19" t="n"/>
      <c r="D186" s="19" t="n"/>
      <c r="E186" s="19" t="n"/>
      <c r="F186" s="28" t="n"/>
      <c r="G186" s="20" t="n"/>
    </row>
    <row r="187">
      <c r="A187" s="27" t="n"/>
      <c r="B187" s="19" t="n"/>
      <c r="C187" s="19" t="n"/>
      <c r="D187" s="19" t="n"/>
      <c r="E187" s="19" t="n"/>
      <c r="F187" s="28" t="n"/>
      <c r="G187" s="20" t="n"/>
    </row>
    <row r="188">
      <c r="A188" s="27" t="n"/>
      <c r="B188" s="19" t="n"/>
      <c r="C188" s="19" t="n"/>
      <c r="D188" s="19" t="n"/>
      <c r="E188" s="19" t="n"/>
      <c r="F188" s="28" t="n"/>
      <c r="G188" s="20" t="n"/>
    </row>
    <row r="189">
      <c r="A189" s="27" t="n"/>
      <c r="B189" s="19" t="n"/>
      <c r="C189" s="19" t="n"/>
      <c r="D189" s="19" t="n"/>
      <c r="E189" s="19" t="n"/>
      <c r="F189" s="28" t="n"/>
      <c r="G189" s="20" t="n"/>
    </row>
    <row r="190">
      <c r="A190" s="27" t="n"/>
      <c r="B190" s="19" t="n"/>
      <c r="C190" s="19" t="n"/>
      <c r="D190" s="19" t="n"/>
      <c r="E190" s="19" t="n"/>
      <c r="F190" s="28" t="n"/>
      <c r="G190" s="20" t="n"/>
    </row>
    <row r="191">
      <c r="A191" s="27" t="n"/>
      <c r="B191" s="19" t="n"/>
      <c r="C191" s="19" t="n"/>
      <c r="D191" s="19" t="n"/>
      <c r="E191" s="19" t="n"/>
      <c r="F191" s="28" t="n"/>
      <c r="G191" s="20" t="n"/>
    </row>
    <row r="192">
      <c r="A192" s="27" t="n"/>
      <c r="B192" s="19" t="n"/>
      <c r="C192" s="19" t="n"/>
      <c r="D192" s="19" t="n"/>
      <c r="E192" s="19" t="n"/>
      <c r="F192" s="28" t="n"/>
      <c r="G192" s="20" t="n"/>
    </row>
    <row r="193">
      <c r="A193" s="27" t="n"/>
      <c r="B193" s="19" t="n"/>
      <c r="C193" s="19" t="n"/>
      <c r="D193" s="19" t="n"/>
      <c r="E193" s="19" t="n"/>
      <c r="F193" s="28" t="n"/>
      <c r="G193" s="20" t="n"/>
    </row>
    <row r="194">
      <c r="A194" s="27" t="n"/>
      <c r="B194" s="19" t="n"/>
      <c r="C194" s="19" t="n"/>
      <c r="D194" s="19" t="n"/>
      <c r="E194" s="19" t="n"/>
      <c r="F194" s="28" t="n"/>
      <c r="G194" s="20" t="n"/>
    </row>
    <row r="195">
      <c r="A195" s="27" t="n"/>
      <c r="B195" s="19" t="n"/>
      <c r="C195" s="19" t="n"/>
      <c r="D195" s="19" t="n"/>
      <c r="E195" s="19" t="n"/>
      <c r="F195" s="28" t="n"/>
      <c r="G195" s="20" t="n"/>
    </row>
    <row r="196">
      <c r="A196" s="27" t="n"/>
      <c r="B196" s="19" t="n"/>
      <c r="C196" s="19" t="n"/>
      <c r="D196" s="19" t="n"/>
      <c r="E196" s="19" t="n"/>
      <c r="F196" s="28" t="n"/>
      <c r="G196" s="20" t="n"/>
    </row>
    <row r="197">
      <c r="A197" s="27" t="n"/>
      <c r="B197" s="19" t="n"/>
      <c r="C197" s="19" t="n"/>
      <c r="D197" s="19" t="n"/>
      <c r="E197" s="19" t="n"/>
      <c r="F197" s="28" t="n"/>
      <c r="G197" s="20" t="n"/>
    </row>
    <row r="198">
      <c r="A198" s="27" t="n"/>
      <c r="B198" s="19" t="n"/>
      <c r="C198" s="19" t="n"/>
      <c r="D198" s="19" t="n"/>
      <c r="E198" s="19" t="n"/>
      <c r="F198" s="28" t="n"/>
      <c r="G198" s="20" t="n"/>
    </row>
    <row r="199">
      <c r="A199" s="27" t="n"/>
      <c r="B199" s="19" t="n"/>
      <c r="C199" s="19" t="n"/>
      <c r="D199" s="19" t="n"/>
      <c r="E199" s="19" t="n"/>
      <c r="F199" s="28" t="n"/>
      <c r="G199" s="20" t="n"/>
    </row>
    <row r="200">
      <c r="A200" s="27" t="n"/>
      <c r="B200" s="19" t="n"/>
      <c r="C200" s="19" t="n"/>
      <c r="D200" s="19" t="n"/>
      <c r="E200" s="19" t="n"/>
      <c r="F200" s="28" t="n"/>
      <c r="G200" s="20" t="n"/>
    </row>
    <row r="201">
      <c r="A201" s="27" t="n"/>
      <c r="B201" s="19" t="n"/>
      <c r="C201" s="19" t="n"/>
      <c r="D201" s="19" t="n"/>
      <c r="E201" s="19" t="n"/>
      <c r="F201" s="28" t="n"/>
      <c r="G201" s="20" t="n"/>
    </row>
    <row r="202">
      <c r="A202" s="27" t="n"/>
      <c r="B202" s="19" t="n"/>
      <c r="C202" s="19" t="n"/>
      <c r="D202" s="19" t="n"/>
      <c r="E202" s="19" t="n"/>
      <c r="F202" s="28" t="n"/>
      <c r="G202" s="20" t="n"/>
    </row>
    <row r="203">
      <c r="A203" s="27" t="n"/>
      <c r="B203" s="19" t="n"/>
      <c r="C203" s="19" t="n"/>
      <c r="D203" s="19" t="n"/>
      <c r="E203" s="19" t="n"/>
      <c r="F203" s="28" t="n"/>
      <c r="G203" s="20" t="n"/>
    </row>
    <row r="204">
      <c r="A204" s="27" t="n"/>
      <c r="B204" s="19" t="n"/>
      <c r="C204" s="19" t="n"/>
      <c r="D204" s="19" t="n"/>
      <c r="E204" s="19" t="n"/>
      <c r="F204" s="28" t="n"/>
      <c r="G204" s="20" t="n"/>
    </row>
    <row r="205">
      <c r="A205" s="27" t="n"/>
      <c r="B205" s="19" t="n"/>
      <c r="C205" s="19" t="n"/>
      <c r="D205" s="19" t="n"/>
      <c r="E205" s="19" t="n"/>
      <c r="F205" s="28" t="n"/>
      <c r="G205" s="20" t="n"/>
    </row>
    <row r="206">
      <c r="A206" s="27" t="n"/>
      <c r="B206" s="19" t="n"/>
      <c r="C206" s="19" t="n"/>
      <c r="D206" s="19" t="n"/>
      <c r="E206" s="19" t="n"/>
      <c r="F206" s="28" t="n"/>
      <c r="G206" s="20" t="n"/>
    </row>
    <row r="207">
      <c r="A207" s="27" t="n"/>
      <c r="B207" s="19" t="n"/>
      <c r="C207" s="19" t="n"/>
      <c r="D207" s="19" t="n"/>
      <c r="E207" s="19" t="n"/>
      <c r="F207" s="28" t="n"/>
      <c r="G207" s="20" t="n"/>
    </row>
    <row r="208">
      <c r="A208" s="27" t="n"/>
      <c r="B208" s="19" t="n"/>
      <c r="C208" s="19" t="n"/>
      <c r="D208" s="19" t="n"/>
      <c r="E208" s="19" t="n"/>
      <c r="F208" s="28" t="n"/>
      <c r="G208" s="20" t="n"/>
    </row>
    <row r="209">
      <c r="A209" s="27" t="n"/>
      <c r="B209" s="19" t="n"/>
      <c r="C209" s="19" t="n"/>
      <c r="D209" s="19" t="n"/>
      <c r="E209" s="19" t="n"/>
      <c r="F209" s="28" t="n"/>
      <c r="G209" s="20" t="n"/>
    </row>
    <row r="210">
      <c r="A210" s="27" t="n"/>
      <c r="B210" s="19" t="n"/>
      <c r="C210" s="19" t="n"/>
      <c r="D210" s="19" t="n"/>
      <c r="E210" s="19" t="n"/>
      <c r="F210" s="28" t="n"/>
      <c r="G210" s="20" t="n"/>
    </row>
    <row r="211">
      <c r="A211" s="27" t="n"/>
      <c r="B211" s="19" t="n"/>
      <c r="C211" s="19" t="n"/>
      <c r="D211" s="19" t="n"/>
      <c r="E211" s="19" t="n"/>
      <c r="F211" s="28" t="n"/>
      <c r="G211" s="20" t="n"/>
    </row>
    <row r="212">
      <c r="A212" s="27" t="n"/>
      <c r="B212" s="19" t="n"/>
      <c r="C212" s="19" t="n"/>
      <c r="D212" s="19" t="n"/>
      <c r="E212" s="19" t="n"/>
      <c r="F212" s="28" t="n"/>
      <c r="G212" s="20" t="n"/>
    </row>
    <row r="213">
      <c r="A213" s="27" t="n"/>
      <c r="B213" s="19" t="n"/>
      <c r="C213" s="19" t="n"/>
      <c r="D213" s="19" t="n"/>
      <c r="E213" s="19" t="n"/>
      <c r="F213" s="28" t="n"/>
      <c r="G213" s="20" t="n"/>
    </row>
    <row r="214">
      <c r="A214" s="27" t="n"/>
      <c r="B214" s="19" t="n"/>
      <c r="C214" s="19" t="n"/>
      <c r="D214" s="19" t="n"/>
      <c r="E214" s="19" t="n"/>
      <c r="F214" s="28" t="n"/>
      <c r="G214" s="20" t="n"/>
    </row>
    <row r="215">
      <c r="A215" s="27" t="n"/>
      <c r="B215" s="19" t="n"/>
      <c r="C215" s="19" t="n"/>
      <c r="D215" s="19" t="n"/>
      <c r="E215" s="19" t="n"/>
      <c r="F215" s="28" t="n"/>
      <c r="G215" s="20" t="n"/>
    </row>
    <row r="216">
      <c r="A216" s="27" t="n"/>
      <c r="B216" s="19" t="n"/>
      <c r="C216" s="19" t="n"/>
      <c r="D216" s="19" t="n"/>
      <c r="E216" s="19" t="n"/>
      <c r="F216" s="28" t="n"/>
      <c r="G216" s="20" t="n"/>
    </row>
    <row r="217">
      <c r="A217" s="27" t="n"/>
      <c r="B217" s="19" t="n"/>
      <c r="C217" s="19" t="n"/>
      <c r="D217" s="19" t="n"/>
      <c r="E217" s="19" t="n"/>
      <c r="F217" s="28" t="n"/>
      <c r="G217" s="20" t="n"/>
    </row>
    <row r="218">
      <c r="A218" s="27" t="n"/>
      <c r="B218" s="19" t="n"/>
      <c r="C218" s="19" t="n"/>
      <c r="D218" s="19" t="n"/>
      <c r="E218" s="19" t="n"/>
      <c r="F218" s="28" t="n"/>
      <c r="G218" s="20" t="n"/>
    </row>
    <row r="219">
      <c r="A219" s="27" t="n"/>
      <c r="B219" s="19" t="n"/>
      <c r="C219" s="19" t="n"/>
      <c r="D219" s="19" t="n"/>
      <c r="E219" s="19" t="n"/>
      <c r="F219" s="28" t="n"/>
      <c r="G219" s="20" t="n"/>
    </row>
    <row r="220">
      <c r="A220" s="27" t="n"/>
      <c r="B220" s="19" t="n"/>
      <c r="C220" s="19" t="n"/>
      <c r="D220" s="19" t="n"/>
      <c r="E220" s="19" t="n"/>
      <c r="F220" s="28" t="n"/>
      <c r="G220" s="20" t="n"/>
    </row>
    <row r="221">
      <c r="A221" s="27" t="n"/>
      <c r="B221" s="19" t="n"/>
      <c r="C221" s="19" t="n"/>
      <c r="D221" s="19" t="n"/>
      <c r="E221" s="19" t="n"/>
      <c r="F221" s="28" t="n"/>
      <c r="G221" s="20" t="n"/>
    </row>
    <row r="222">
      <c r="A222" s="27" t="n"/>
      <c r="B222" s="19" t="n"/>
      <c r="C222" s="19" t="n"/>
      <c r="D222" s="19" t="n"/>
      <c r="E222" s="19" t="n"/>
      <c r="F222" s="28" t="n"/>
      <c r="G222" s="20" t="n"/>
    </row>
    <row r="223">
      <c r="A223" s="27" t="n"/>
      <c r="B223" s="19" t="n"/>
      <c r="C223" s="19" t="n"/>
      <c r="D223" s="19" t="n"/>
      <c r="E223" s="19" t="n"/>
      <c r="F223" s="28" t="n"/>
      <c r="G223" s="20" t="n"/>
    </row>
    <row r="224">
      <c r="A224" s="27" t="n"/>
      <c r="B224" s="19" t="n"/>
      <c r="C224" s="19" t="n"/>
      <c r="D224" s="19" t="n"/>
      <c r="E224" s="19" t="n"/>
      <c r="F224" s="28" t="n"/>
      <c r="G224" s="20" t="n"/>
    </row>
    <row r="225">
      <c r="A225" s="27" t="n"/>
      <c r="B225" s="19" t="n"/>
      <c r="C225" s="19" t="n"/>
      <c r="D225" s="19" t="n"/>
      <c r="E225" s="19" t="n"/>
      <c r="F225" s="28" t="n"/>
      <c r="G225" s="20" t="n"/>
    </row>
    <row r="226">
      <c r="A226" s="27" t="n"/>
      <c r="B226" s="19" t="n"/>
      <c r="C226" s="19" t="n"/>
      <c r="D226" s="19" t="n"/>
      <c r="E226" s="19" t="n"/>
      <c r="F226" s="28" t="n"/>
      <c r="G226" s="20" t="n"/>
    </row>
    <row r="227">
      <c r="A227" s="27" t="n"/>
      <c r="B227" s="19" t="n"/>
      <c r="C227" s="19" t="n"/>
      <c r="D227" s="19" t="n"/>
      <c r="E227" s="19" t="n"/>
      <c r="F227" s="28" t="n"/>
      <c r="G227" s="20" t="n"/>
    </row>
    <row r="228">
      <c r="A228" s="27" t="n"/>
      <c r="B228" s="19" t="n"/>
      <c r="C228" s="19" t="n"/>
      <c r="D228" s="19" t="n"/>
      <c r="E228" s="19" t="n"/>
      <c r="F228" s="28" t="n"/>
      <c r="G228" s="20" t="n"/>
    </row>
    <row r="229">
      <c r="A229" s="27" t="n"/>
      <c r="B229" s="19" t="n"/>
      <c r="C229" s="19" t="n"/>
      <c r="D229" s="19" t="n"/>
      <c r="E229" s="19" t="n"/>
      <c r="F229" s="28" t="n"/>
      <c r="G229" s="20" t="n"/>
    </row>
    <row r="230">
      <c r="A230" s="27" t="n"/>
      <c r="B230" s="19" t="n"/>
      <c r="C230" s="19" t="n"/>
      <c r="D230" s="19" t="n"/>
      <c r="E230" s="19" t="n"/>
      <c r="F230" s="28" t="n"/>
      <c r="G230" s="20" t="n"/>
    </row>
    <row r="231">
      <c r="A231" s="27" t="n"/>
      <c r="B231" s="19" t="n"/>
      <c r="C231" s="19" t="n"/>
      <c r="D231" s="19" t="n"/>
      <c r="E231" s="19" t="n"/>
      <c r="F231" s="28" t="n"/>
      <c r="G231" s="20" t="n"/>
    </row>
    <row r="232">
      <c r="A232" s="27" t="n"/>
      <c r="B232" s="19" t="n"/>
      <c r="C232" s="19" t="n"/>
      <c r="D232" s="19" t="n"/>
      <c r="E232" s="19" t="n"/>
      <c r="F232" s="28" t="n"/>
      <c r="G232" s="20" t="n"/>
    </row>
    <row r="233">
      <c r="A233" s="27" t="n"/>
      <c r="B233" s="19" t="n"/>
      <c r="C233" s="19" t="n"/>
      <c r="D233" s="19" t="n"/>
      <c r="E233" s="19" t="n"/>
      <c r="F233" s="28" t="n"/>
      <c r="G233" s="20" t="n"/>
    </row>
    <row r="234">
      <c r="A234" s="27" t="n"/>
      <c r="B234" s="19" t="n"/>
      <c r="C234" s="19" t="n"/>
      <c r="D234" s="19" t="n"/>
      <c r="E234" s="19" t="n"/>
      <c r="F234" s="28" t="n"/>
      <c r="G234" s="20" t="n"/>
    </row>
    <row r="235">
      <c r="A235" s="27" t="n"/>
      <c r="B235" s="19" t="n"/>
      <c r="C235" s="19" t="n"/>
      <c r="D235" s="19" t="n"/>
      <c r="E235" s="19" t="n"/>
      <c r="F235" s="28" t="n"/>
      <c r="G235" s="20" t="n"/>
    </row>
    <row r="236">
      <c r="A236" s="27" t="n"/>
      <c r="B236" s="19" t="n"/>
      <c r="C236" s="19" t="n"/>
      <c r="D236" s="19" t="n"/>
      <c r="E236" s="19" t="n"/>
      <c r="F236" s="28" t="n"/>
      <c r="G236" s="20" t="n"/>
    </row>
    <row r="237">
      <c r="A237" s="27" t="n"/>
      <c r="B237" s="19" t="n"/>
      <c r="C237" s="19" t="n"/>
      <c r="D237" s="19" t="n"/>
      <c r="E237" s="19" t="n"/>
      <c r="F237" s="28" t="n"/>
      <c r="G237" s="20" t="n"/>
    </row>
    <row r="238">
      <c r="A238" s="27" t="n"/>
      <c r="B238" s="19" t="n"/>
      <c r="C238" s="19" t="n"/>
      <c r="D238" s="19" t="n"/>
      <c r="E238" s="19" t="n"/>
      <c r="F238" s="28" t="n"/>
      <c r="G238" s="20" t="n"/>
    </row>
    <row r="239">
      <c r="A239" s="27" t="n"/>
      <c r="B239" s="19" t="n"/>
      <c r="C239" s="19" t="n"/>
      <c r="D239" s="19" t="n"/>
      <c r="E239" s="19" t="n"/>
      <c r="F239" s="28" t="n"/>
      <c r="G239" s="20" t="n"/>
    </row>
    <row r="240">
      <c r="A240" s="27" t="n"/>
      <c r="B240" s="19" t="n"/>
      <c r="C240" s="19" t="n"/>
      <c r="D240" s="19" t="n"/>
      <c r="E240" s="19" t="n"/>
      <c r="F240" s="28" t="n"/>
      <c r="G240" s="20" t="n"/>
    </row>
    <row r="241">
      <c r="A241" s="27" t="n"/>
      <c r="B241" s="19" t="n"/>
      <c r="C241" s="19" t="n"/>
      <c r="D241" s="19" t="n"/>
      <c r="E241" s="19" t="n"/>
      <c r="F241" s="28" t="n"/>
      <c r="G241" s="20" t="n"/>
    </row>
    <row r="242">
      <c r="A242" s="27" t="n"/>
      <c r="B242" s="19" t="n"/>
      <c r="C242" s="19" t="n"/>
      <c r="D242" s="19" t="n"/>
      <c r="E242" s="19" t="n"/>
      <c r="F242" s="28" t="n"/>
      <c r="G242" s="20" t="n"/>
    </row>
    <row r="243">
      <c r="A243" s="27" t="n"/>
      <c r="B243" s="19" t="n"/>
      <c r="C243" s="19" t="n"/>
      <c r="D243" s="19" t="n"/>
      <c r="E243" s="19" t="n"/>
      <c r="F243" s="28" t="n"/>
      <c r="G243" s="20" t="n"/>
    </row>
    <row r="244">
      <c r="A244" s="27" t="n"/>
      <c r="B244" s="19" t="n"/>
      <c r="C244" s="19" t="n"/>
      <c r="D244" s="19" t="n"/>
      <c r="E244" s="19" t="n"/>
      <c r="F244" s="28" t="n"/>
      <c r="G244" s="20" t="n"/>
    </row>
    <row r="245">
      <c r="A245" s="27" t="n"/>
      <c r="B245" s="19" t="n"/>
      <c r="C245" s="19" t="n"/>
      <c r="D245" s="19" t="n"/>
      <c r="E245" s="19" t="n"/>
      <c r="F245" s="28" t="n"/>
      <c r="G245" s="20" t="n"/>
    </row>
    <row r="246">
      <c r="A246" s="27" t="n"/>
      <c r="B246" s="19" t="n"/>
      <c r="C246" s="19" t="n"/>
      <c r="D246" s="19" t="n"/>
      <c r="E246" s="19" t="n"/>
      <c r="F246" s="28" t="n"/>
      <c r="G246" s="20" t="n"/>
    </row>
    <row r="247">
      <c r="A247" s="27" t="n"/>
      <c r="B247" s="19" t="n"/>
      <c r="C247" s="19" t="n"/>
      <c r="D247" s="19" t="n"/>
      <c r="E247" s="19" t="n"/>
      <c r="F247" s="28" t="n"/>
      <c r="G247" s="20" t="n"/>
    </row>
    <row r="248">
      <c r="A248" s="27" t="n"/>
      <c r="B248" s="19" t="n"/>
      <c r="C248" s="19" t="n"/>
      <c r="D248" s="19" t="n"/>
      <c r="E248" s="19" t="n"/>
      <c r="F248" s="28" t="n"/>
      <c r="G248" s="20" t="n"/>
    </row>
    <row r="249">
      <c r="A249" s="27" t="n"/>
      <c r="B249" s="19" t="n"/>
      <c r="C249" s="19" t="n"/>
      <c r="D249" s="19" t="n"/>
      <c r="E249" s="19" t="n"/>
      <c r="F249" s="28" t="n"/>
      <c r="G249" s="20" t="n"/>
    </row>
    <row r="250">
      <c r="A250" s="27" t="n"/>
      <c r="B250" s="19" t="n"/>
      <c r="C250" s="19" t="n"/>
      <c r="D250" s="19" t="n"/>
      <c r="E250" s="19" t="n"/>
      <c r="F250" s="28" t="n"/>
      <c r="G250" s="20" t="n"/>
    </row>
    <row r="251">
      <c r="A251" s="27" t="n"/>
      <c r="B251" s="19" t="n"/>
      <c r="C251" s="19" t="n"/>
      <c r="D251" s="19" t="n"/>
      <c r="E251" s="19" t="n"/>
      <c r="F251" s="28" t="n"/>
      <c r="G251" s="20" t="n"/>
    </row>
    <row r="252">
      <c r="A252" s="27" t="n"/>
      <c r="B252" s="19" t="n"/>
      <c r="C252" s="19" t="n"/>
      <c r="D252" s="19" t="n"/>
      <c r="E252" s="19" t="n"/>
      <c r="F252" s="28" t="n"/>
      <c r="G252" s="20" t="n"/>
    </row>
    <row r="253">
      <c r="A253" s="27" t="n"/>
      <c r="B253" s="19" t="n"/>
      <c r="C253" s="19" t="n"/>
      <c r="D253" s="19" t="n"/>
      <c r="E253" s="19" t="n"/>
      <c r="F253" s="28" t="n"/>
      <c r="G253" s="20" t="n"/>
    </row>
    <row r="254">
      <c r="A254" s="27" t="n"/>
      <c r="B254" s="19" t="n"/>
      <c r="C254" s="19" t="n"/>
      <c r="D254" s="19" t="n"/>
      <c r="E254" s="19" t="n"/>
      <c r="F254" s="28" t="n"/>
      <c r="G254" s="20" t="n"/>
    </row>
    <row r="255">
      <c r="A255" s="27" t="n"/>
      <c r="B255" s="19" t="n"/>
      <c r="C255" s="19" t="n"/>
      <c r="D255" s="19" t="n"/>
      <c r="E255" s="19" t="n"/>
      <c r="F255" s="28" t="n"/>
      <c r="G255" s="20" t="n"/>
    </row>
    <row r="256">
      <c r="A256" s="27" t="n"/>
      <c r="B256" s="19" t="n"/>
      <c r="C256" s="19" t="n"/>
      <c r="D256" s="19" t="n"/>
      <c r="E256" s="19" t="n"/>
      <c r="F256" s="28" t="n"/>
      <c r="G256" s="20" t="n"/>
    </row>
    <row r="257">
      <c r="A257" s="27" t="n"/>
      <c r="B257" s="19" t="n"/>
      <c r="C257" s="19" t="n"/>
      <c r="D257" s="19" t="n"/>
      <c r="E257" s="19" t="n"/>
      <c r="F257" s="28" t="n"/>
      <c r="G257" s="20" t="n"/>
    </row>
    <row r="258">
      <c r="A258" s="27" t="n"/>
      <c r="B258" s="19" t="n"/>
      <c r="C258" s="19" t="n"/>
      <c r="D258" s="19" t="n"/>
      <c r="E258" s="19" t="n"/>
      <c r="F258" s="28" t="n"/>
      <c r="G258" s="20" t="n"/>
    </row>
    <row r="259">
      <c r="A259" s="27" t="n"/>
      <c r="B259" s="19" t="n"/>
      <c r="C259" s="19" t="n"/>
      <c r="D259" s="19" t="n"/>
      <c r="E259" s="19" t="n"/>
      <c r="F259" s="28" t="n"/>
      <c r="G259" s="20" t="n"/>
    </row>
    <row r="260">
      <c r="A260" s="27" t="n"/>
      <c r="B260" s="19" t="n"/>
      <c r="C260" s="19" t="n"/>
      <c r="D260" s="19" t="n"/>
      <c r="E260" s="19" t="n"/>
      <c r="F260" s="28" t="n"/>
      <c r="G260" s="20" t="n"/>
    </row>
    <row r="261">
      <c r="A261" s="27" t="n"/>
      <c r="B261" s="19" t="n"/>
      <c r="C261" s="19" t="n"/>
      <c r="D261" s="19" t="n"/>
      <c r="E261" s="19" t="n"/>
      <c r="F261" s="28" t="n"/>
      <c r="G261" s="20" t="n"/>
    </row>
    <row r="262">
      <c r="A262" s="27" t="n"/>
      <c r="B262" s="19" t="n"/>
      <c r="C262" s="19" t="n"/>
      <c r="D262" s="19" t="n"/>
      <c r="E262" s="19" t="n"/>
      <c r="F262" s="28" t="n"/>
      <c r="G262" s="20" t="n"/>
    </row>
    <row r="263">
      <c r="A263" s="27" t="n"/>
      <c r="B263" s="19" t="n"/>
      <c r="C263" s="19" t="n"/>
      <c r="D263" s="19" t="n"/>
      <c r="E263" s="19" t="n"/>
      <c r="F263" s="28" t="n"/>
      <c r="G263" s="20" t="n"/>
    </row>
    <row r="264">
      <c r="A264" s="27" t="n"/>
      <c r="B264" s="19" t="n"/>
      <c r="C264" s="19" t="n"/>
      <c r="D264" s="19" t="n"/>
      <c r="E264" s="19" t="n"/>
      <c r="F264" s="28" t="n"/>
      <c r="G264" s="20" t="n"/>
    </row>
    <row r="265">
      <c r="A265" s="27" t="n"/>
      <c r="B265" s="19" t="n"/>
      <c r="C265" s="19" t="n"/>
      <c r="D265" s="19" t="n"/>
      <c r="E265" s="19" t="n"/>
      <c r="F265" s="28" t="n"/>
      <c r="G265" s="20" t="n"/>
    </row>
    <row r="266">
      <c r="A266" s="27" t="n"/>
      <c r="B266" s="19" t="n"/>
      <c r="C266" s="19" t="n"/>
      <c r="D266" s="19" t="n"/>
      <c r="E266" s="19" t="n"/>
      <c r="F266" s="28" t="n"/>
      <c r="G266" s="20" t="n"/>
    </row>
    <row r="267">
      <c r="A267" s="27" t="n"/>
      <c r="B267" s="19" t="n"/>
      <c r="C267" s="19" t="n"/>
      <c r="D267" s="19" t="n"/>
      <c r="E267" s="19" t="n"/>
      <c r="F267" s="28" t="n"/>
      <c r="G267" s="20" t="n"/>
    </row>
    <row r="268">
      <c r="A268" s="27" t="n"/>
      <c r="B268" s="19" t="n"/>
      <c r="C268" s="19" t="n"/>
      <c r="D268" s="19" t="n"/>
      <c r="E268" s="19" t="n"/>
      <c r="F268" s="28" t="n"/>
      <c r="G268" s="20" t="n"/>
    </row>
    <row r="269">
      <c r="A269" s="27" t="n"/>
      <c r="B269" s="19" t="n"/>
      <c r="C269" s="19" t="n"/>
      <c r="D269" s="19" t="n"/>
      <c r="E269" s="19" t="n"/>
      <c r="F269" s="28" t="n"/>
      <c r="G269" s="20" t="n"/>
    </row>
    <row r="270">
      <c r="A270" s="27" t="n"/>
      <c r="B270" s="19" t="n"/>
      <c r="C270" s="19" t="n"/>
      <c r="D270" s="19" t="n"/>
      <c r="E270" s="19" t="n"/>
      <c r="F270" s="28" t="n"/>
      <c r="G270" s="20" t="n"/>
    </row>
    <row r="271">
      <c r="A271" s="27" t="n"/>
      <c r="B271" s="19" t="n"/>
      <c r="C271" s="19" t="n"/>
      <c r="D271" s="19" t="n"/>
      <c r="E271" s="19" t="n"/>
      <c r="F271" s="28" t="n"/>
      <c r="G271" s="20" t="n"/>
    </row>
    <row r="272">
      <c r="A272" s="27" t="n"/>
      <c r="B272" s="19" t="n"/>
      <c r="C272" s="19" t="n"/>
      <c r="D272" s="19" t="n"/>
      <c r="E272" s="19" t="n"/>
      <c r="F272" s="28" t="n"/>
      <c r="G272" s="20" t="n"/>
    </row>
    <row r="273">
      <c r="A273" s="27" t="n"/>
      <c r="B273" s="19" t="n"/>
      <c r="C273" s="19" t="n"/>
      <c r="D273" s="19" t="n"/>
      <c r="E273" s="19" t="n"/>
      <c r="F273" s="28" t="n"/>
      <c r="G273" s="20" t="n"/>
    </row>
    <row r="274">
      <c r="A274" s="27" t="n"/>
      <c r="B274" s="19" t="n"/>
      <c r="C274" s="19" t="n"/>
      <c r="D274" s="19" t="n"/>
      <c r="E274" s="19" t="n"/>
      <c r="F274" s="28" t="n"/>
      <c r="G274" s="20" t="n"/>
    </row>
    <row r="275">
      <c r="A275" s="27" t="n"/>
      <c r="B275" s="19" t="n"/>
      <c r="C275" s="19" t="n"/>
      <c r="D275" s="19" t="n"/>
      <c r="E275" s="19" t="n"/>
      <c r="F275" s="28" t="n"/>
      <c r="G275" s="20" t="n"/>
    </row>
    <row r="276">
      <c r="A276" s="27" t="n"/>
      <c r="B276" s="19" t="n"/>
      <c r="C276" s="19" t="n"/>
      <c r="D276" s="19" t="n"/>
      <c r="E276" s="19" t="n"/>
      <c r="F276" s="28" t="n"/>
      <c r="G276" s="20" t="n"/>
    </row>
    <row r="277">
      <c r="A277" s="27" t="n"/>
      <c r="B277" s="19" t="n"/>
      <c r="C277" s="19" t="n"/>
      <c r="D277" s="19" t="n"/>
      <c r="E277" s="19" t="n"/>
      <c r="F277" s="28" t="n"/>
      <c r="G277" s="20" t="n"/>
    </row>
    <row r="278">
      <c r="A278" s="27" t="n"/>
      <c r="B278" s="19" t="n"/>
      <c r="C278" s="19" t="n"/>
      <c r="D278" s="19" t="n"/>
      <c r="E278" s="19" t="n"/>
      <c r="F278" s="28" t="n"/>
      <c r="G278" s="20" t="n"/>
    </row>
    <row r="279">
      <c r="A279" s="27" t="n"/>
      <c r="B279" s="19" t="n"/>
      <c r="C279" s="19" t="n"/>
      <c r="D279" s="19" t="n"/>
      <c r="E279" s="19" t="n"/>
      <c r="F279" s="28" t="n"/>
      <c r="G279" s="20" t="n"/>
    </row>
    <row r="280">
      <c r="A280" s="27" t="n"/>
      <c r="B280" s="19" t="n"/>
      <c r="C280" s="19" t="n"/>
      <c r="D280" s="19" t="n"/>
      <c r="E280" s="19" t="n"/>
      <c r="F280" s="28" t="n"/>
      <c r="G280" s="20" t="n"/>
    </row>
    <row r="281">
      <c r="A281" s="27" t="n"/>
      <c r="B281" s="19" t="n"/>
      <c r="C281" s="19" t="n"/>
      <c r="D281" s="19" t="n"/>
      <c r="E281" s="19" t="n"/>
      <c r="F281" s="28" t="n"/>
      <c r="G281" s="20" t="n"/>
    </row>
    <row r="282">
      <c r="A282" s="27" t="n"/>
      <c r="B282" s="19" t="n"/>
      <c r="C282" s="19" t="n"/>
      <c r="D282" s="19" t="n"/>
      <c r="E282" s="19" t="n"/>
      <c r="F282" s="28" t="n"/>
      <c r="G282" s="20" t="n"/>
    </row>
    <row r="283">
      <c r="A283" s="27" t="n"/>
      <c r="B283" s="19" t="n"/>
      <c r="C283" s="19" t="n"/>
      <c r="D283" s="19" t="n"/>
      <c r="E283" s="19" t="n"/>
      <c r="F283" s="28" t="n"/>
      <c r="G283" s="20" t="n"/>
    </row>
    <row r="284">
      <c r="A284" s="27" t="n"/>
      <c r="B284" s="19" t="n"/>
      <c r="C284" s="19" t="n"/>
      <c r="D284" s="19" t="n"/>
      <c r="E284" s="19" t="n"/>
      <c r="F284" s="28" t="n"/>
      <c r="G284" s="20" t="n"/>
    </row>
    <row r="285">
      <c r="A285" s="27" t="n"/>
      <c r="B285" s="19" t="n"/>
      <c r="C285" s="19" t="n"/>
      <c r="D285" s="19" t="n"/>
      <c r="E285" s="19" t="n"/>
      <c r="F285" s="28" t="n"/>
      <c r="G285" s="20" t="n"/>
    </row>
    <row r="286">
      <c r="A286" s="27" t="n"/>
      <c r="B286" s="19" t="n"/>
      <c r="C286" s="19" t="n"/>
      <c r="D286" s="19" t="n"/>
      <c r="E286" s="19" t="n"/>
      <c r="F286" s="28" t="n"/>
      <c r="G286" s="20" t="n"/>
    </row>
    <row r="287">
      <c r="A287" s="27" t="n"/>
      <c r="B287" s="19" t="n"/>
      <c r="C287" s="19" t="n"/>
      <c r="D287" s="19" t="n"/>
      <c r="E287" s="19" t="n"/>
      <c r="F287" s="28" t="n"/>
      <c r="G287" s="20" t="n"/>
    </row>
    <row r="288">
      <c r="A288" s="27" t="n"/>
      <c r="B288" s="19" t="n"/>
      <c r="C288" s="19" t="n"/>
      <c r="D288" s="19" t="n"/>
      <c r="E288" s="19" t="n"/>
      <c r="F288" s="28" t="n"/>
      <c r="G288" s="20" t="n"/>
    </row>
    <row r="289">
      <c r="A289" s="27" t="n"/>
      <c r="B289" s="19" t="n"/>
      <c r="C289" s="19" t="n"/>
      <c r="D289" s="19" t="n"/>
      <c r="E289" s="19" t="n"/>
      <c r="F289" s="28" t="n"/>
      <c r="G289" s="20" t="n"/>
    </row>
    <row r="290">
      <c r="A290" s="27" t="n"/>
      <c r="B290" s="19" t="n"/>
      <c r="C290" s="19" t="n"/>
      <c r="D290" s="19" t="n"/>
      <c r="E290" s="19" t="n"/>
      <c r="F290" s="28" t="n"/>
      <c r="G290" s="20" t="n"/>
    </row>
    <row r="291">
      <c r="A291" s="27" t="n"/>
      <c r="B291" s="19" t="n"/>
      <c r="C291" s="19" t="n"/>
      <c r="D291" s="19" t="n"/>
      <c r="E291" s="19" t="n"/>
      <c r="F291" s="28" t="n"/>
      <c r="G291" s="20" t="n"/>
    </row>
    <row r="292">
      <c r="A292" s="27" t="n"/>
      <c r="B292" s="19" t="n"/>
      <c r="C292" s="19" t="n"/>
      <c r="D292" s="19" t="n"/>
      <c r="E292" s="19" t="n"/>
      <c r="F292" s="28" t="n"/>
      <c r="G292" s="20" t="n"/>
    </row>
    <row r="293">
      <c r="A293" s="27" t="n"/>
      <c r="B293" s="19" t="n"/>
      <c r="C293" s="19" t="n"/>
      <c r="D293" s="19" t="n"/>
      <c r="E293" s="19" t="n"/>
      <c r="F293" s="28" t="n"/>
      <c r="G293" s="20" t="n"/>
    </row>
    <row r="294">
      <c r="A294" s="27" t="n"/>
      <c r="B294" s="19" t="n"/>
      <c r="C294" s="19" t="n"/>
      <c r="D294" s="19" t="n"/>
      <c r="E294" s="19" t="n"/>
      <c r="F294" s="28" t="n"/>
      <c r="G294" s="20" t="n"/>
    </row>
    <row r="295">
      <c r="A295" s="27" t="n"/>
      <c r="B295" s="19" t="n"/>
      <c r="C295" s="19" t="n"/>
      <c r="D295" s="19" t="n"/>
      <c r="E295" s="19" t="n"/>
      <c r="F295" s="28" t="n"/>
      <c r="G295" s="20" t="n"/>
    </row>
    <row r="296">
      <c r="A296" s="27" t="n"/>
      <c r="B296" s="19" t="n"/>
      <c r="C296" s="19" t="n"/>
      <c r="D296" s="19" t="n"/>
      <c r="E296" s="19" t="n"/>
      <c r="F296" s="28" t="n"/>
      <c r="G296" s="20" t="n"/>
    </row>
    <row r="297">
      <c r="A297" s="27" t="n"/>
      <c r="B297" s="19" t="n"/>
      <c r="C297" s="19" t="n"/>
      <c r="D297" s="19" t="n"/>
      <c r="E297" s="19" t="n"/>
      <c r="F297" s="28" t="n"/>
      <c r="G297" s="20" t="n"/>
    </row>
    <row r="298">
      <c r="A298" s="27" t="n"/>
      <c r="B298" s="19" t="n"/>
      <c r="C298" s="19" t="n"/>
      <c r="D298" s="19" t="n"/>
      <c r="E298" s="19" t="n"/>
      <c r="F298" s="28" t="n"/>
      <c r="G298" s="20" t="n"/>
    </row>
    <row r="299">
      <c r="A299" s="27" t="n"/>
      <c r="B299" s="19" t="n"/>
      <c r="C299" s="19" t="n"/>
      <c r="D299" s="19" t="n"/>
      <c r="E299" s="19" t="n"/>
      <c r="F299" s="28" t="n"/>
      <c r="G299" s="20" t="n"/>
    </row>
    <row r="300">
      <c r="A300" s="27" t="n"/>
      <c r="B300" s="19" t="n"/>
      <c r="C300" s="19" t="n"/>
      <c r="D300" s="19" t="n"/>
      <c r="E300" s="19" t="n"/>
      <c r="F300" s="28" t="n"/>
      <c r="G300" s="20" t="n"/>
    </row>
    <row r="301">
      <c r="A301" s="27" t="n"/>
      <c r="B301" s="19" t="n"/>
      <c r="C301" s="19" t="n"/>
      <c r="D301" s="19" t="n"/>
      <c r="E301" s="19" t="n"/>
      <c r="F301" s="28" t="n"/>
      <c r="G301" s="20" t="n"/>
    </row>
    <row r="302">
      <c r="A302" s="27" t="n"/>
      <c r="B302" s="19" t="n"/>
      <c r="C302" s="19" t="n"/>
      <c r="D302" s="19" t="n"/>
      <c r="E302" s="19" t="n"/>
      <c r="F302" s="28" t="n"/>
      <c r="G302" s="20" t="n"/>
    </row>
    <row r="303">
      <c r="A303" s="27" t="n"/>
      <c r="B303" s="19" t="n"/>
      <c r="C303" s="19" t="n"/>
      <c r="D303" s="19" t="n"/>
      <c r="E303" s="19" t="n"/>
      <c r="F303" s="28" t="n"/>
      <c r="G303" s="20" t="n"/>
    </row>
    <row r="304">
      <c r="A304" s="27" t="n"/>
      <c r="B304" s="19" t="n"/>
      <c r="C304" s="19" t="n"/>
      <c r="D304" s="19" t="n"/>
      <c r="E304" s="19" t="n"/>
      <c r="F304" s="28" t="n"/>
      <c r="G304" s="20" t="n"/>
    </row>
    <row r="305">
      <c r="A305" s="27" t="n"/>
      <c r="B305" s="19" t="n"/>
      <c r="C305" s="19" t="n"/>
      <c r="D305" s="19" t="n"/>
      <c r="E305" s="19" t="n"/>
      <c r="F305" s="28" t="n"/>
      <c r="G305" s="20" t="n"/>
    </row>
    <row r="306">
      <c r="A306" s="27" t="n"/>
      <c r="B306" s="19" t="n"/>
      <c r="C306" s="19" t="n"/>
      <c r="D306" s="19" t="n"/>
      <c r="E306" s="19" t="n"/>
      <c r="F306" s="28" t="n"/>
      <c r="G306" s="20" t="n"/>
    </row>
    <row r="307">
      <c r="A307" s="27" t="n"/>
      <c r="B307" s="19" t="n"/>
      <c r="C307" s="19" t="n"/>
      <c r="D307" s="19" t="n"/>
      <c r="E307" s="19" t="n"/>
      <c r="F307" s="28" t="n"/>
      <c r="G307" s="20" t="n"/>
    </row>
    <row r="308">
      <c r="A308" s="27" t="n"/>
      <c r="B308" s="19" t="n"/>
      <c r="C308" s="19" t="n"/>
      <c r="D308" s="19" t="n"/>
      <c r="E308" s="19" t="n"/>
      <c r="F308" s="28" t="n"/>
      <c r="G308" s="20" t="n"/>
    </row>
    <row r="309">
      <c r="A309" s="27" t="n"/>
      <c r="B309" s="19" t="n"/>
      <c r="C309" s="19" t="n"/>
      <c r="D309" s="19" t="n"/>
      <c r="E309" s="19" t="n"/>
      <c r="F309" s="28" t="n"/>
      <c r="G309" s="20" t="n"/>
    </row>
    <row r="310">
      <c r="A310" s="27" t="n"/>
      <c r="B310" s="19" t="n"/>
      <c r="C310" s="19" t="n"/>
      <c r="D310" s="19" t="n"/>
      <c r="E310" s="19" t="n"/>
      <c r="F310" s="28" t="n"/>
      <c r="G310" s="20" t="n"/>
    </row>
    <row r="311">
      <c r="A311" s="27" t="n"/>
      <c r="B311" s="19" t="n"/>
      <c r="C311" s="19" t="n"/>
      <c r="D311" s="19" t="n"/>
      <c r="E311" s="19" t="n"/>
      <c r="F311" s="28" t="n"/>
      <c r="G311" s="20" t="n"/>
    </row>
    <row r="312">
      <c r="A312" s="27" t="n"/>
      <c r="B312" s="19" t="n"/>
      <c r="C312" s="19" t="n"/>
      <c r="D312" s="19" t="n"/>
      <c r="E312" s="19" t="n"/>
      <c r="F312" s="28" t="n"/>
      <c r="G312" s="20" t="n"/>
    </row>
    <row r="313">
      <c r="A313" s="27" t="n"/>
      <c r="B313" s="19" t="n"/>
      <c r="C313" s="19" t="n"/>
      <c r="D313" s="19" t="n"/>
      <c r="E313" s="19" t="n"/>
      <c r="F313" s="28" t="n"/>
      <c r="G313" s="20" t="n"/>
    </row>
    <row r="314">
      <c r="A314" s="27" t="n"/>
      <c r="B314" s="19" t="n"/>
      <c r="C314" s="19" t="n"/>
      <c r="D314" s="19" t="n"/>
      <c r="E314" s="19" t="n"/>
      <c r="F314" s="28" t="n"/>
      <c r="G314" s="20" t="n"/>
    </row>
    <row r="315">
      <c r="A315" s="27" t="n"/>
      <c r="B315" s="19" t="n"/>
      <c r="C315" s="19" t="n"/>
      <c r="D315" s="19" t="n"/>
      <c r="E315" s="19" t="n"/>
      <c r="F315" s="28" t="n"/>
      <c r="G315" s="20" t="n"/>
    </row>
    <row r="316">
      <c r="A316" s="27" t="n"/>
      <c r="B316" s="19" t="n"/>
      <c r="C316" s="19" t="n"/>
      <c r="D316" s="19" t="n"/>
      <c r="E316" s="19" t="n"/>
      <c r="F316" s="28" t="n"/>
      <c r="G316" s="20" t="n"/>
    </row>
    <row r="317">
      <c r="A317" s="27" t="n"/>
      <c r="B317" s="19" t="n"/>
      <c r="C317" s="19" t="n"/>
      <c r="D317" s="19" t="n"/>
      <c r="E317" s="19" t="n"/>
      <c r="F317" s="28" t="n"/>
      <c r="G317" s="20" t="n"/>
    </row>
    <row r="318">
      <c r="A318" s="27" t="n"/>
      <c r="B318" s="19" t="n"/>
      <c r="C318" s="19" t="n"/>
      <c r="D318" s="19" t="n"/>
      <c r="E318" s="19" t="n"/>
      <c r="F318" s="28" t="n"/>
      <c r="G318" s="20" t="n"/>
    </row>
    <row r="319">
      <c r="A319" s="27" t="n"/>
      <c r="B319" s="19" t="n"/>
      <c r="C319" s="19" t="n"/>
      <c r="D319" s="19" t="n"/>
      <c r="E319" s="19" t="n"/>
      <c r="F319" s="28" t="n"/>
      <c r="G319" s="20" t="n"/>
    </row>
    <row r="320">
      <c r="A320" s="27" t="n"/>
      <c r="B320" s="19" t="n"/>
      <c r="C320" s="19" t="n"/>
      <c r="D320" s="19" t="n"/>
      <c r="E320" s="19" t="n"/>
      <c r="F320" s="28" t="n"/>
      <c r="G320" s="20" t="n"/>
    </row>
    <row r="321">
      <c r="A321" s="27" t="n"/>
      <c r="B321" s="19" t="n"/>
      <c r="C321" s="19" t="n"/>
      <c r="D321" s="19" t="n"/>
      <c r="E321" s="19" t="n"/>
      <c r="F321" s="28" t="n"/>
      <c r="G321" s="20" t="n"/>
    </row>
    <row r="322">
      <c r="A322" s="27" t="n"/>
      <c r="B322" s="19" t="n"/>
      <c r="C322" s="19" t="n"/>
      <c r="D322" s="19" t="n"/>
      <c r="E322" s="19" t="n"/>
      <c r="F322" s="28" t="n"/>
      <c r="G322" s="20" t="n"/>
    </row>
    <row r="323">
      <c r="A323" s="27" t="n"/>
      <c r="B323" s="19" t="n"/>
      <c r="C323" s="19" t="n"/>
      <c r="D323" s="19" t="n"/>
      <c r="E323" s="19" t="n"/>
      <c r="F323" s="28" t="n"/>
      <c r="G323" s="20" t="n"/>
    </row>
    <row r="324">
      <c r="A324" s="27" t="n"/>
      <c r="B324" s="19" t="n"/>
      <c r="C324" s="19" t="n"/>
      <c r="D324" s="19" t="n"/>
      <c r="E324" s="19" t="n"/>
      <c r="F324" s="28" t="n"/>
      <c r="G324" s="20" t="n"/>
    </row>
    <row r="325">
      <c r="A325" s="27" t="n"/>
      <c r="B325" s="19" t="n"/>
      <c r="C325" s="19" t="n"/>
      <c r="D325" s="19" t="n"/>
      <c r="E325" s="19" t="n"/>
      <c r="F325" s="28" t="n"/>
      <c r="G325" s="20" t="n"/>
    </row>
    <row r="326">
      <c r="A326" s="27" t="n"/>
      <c r="B326" s="19" t="n"/>
      <c r="C326" s="19" t="n"/>
      <c r="D326" s="19" t="n"/>
      <c r="E326" s="19" t="n"/>
      <c r="F326" s="28" t="n"/>
      <c r="G326" s="20" t="n"/>
    </row>
    <row r="327">
      <c r="A327" s="27" t="n"/>
      <c r="B327" s="19" t="n"/>
      <c r="C327" s="19" t="n"/>
      <c r="D327" s="19" t="n"/>
      <c r="E327" s="19" t="n"/>
      <c r="F327" s="28" t="n"/>
      <c r="G327" s="20" t="n"/>
    </row>
    <row r="328">
      <c r="A328" s="27" t="n"/>
      <c r="B328" s="19" t="n"/>
      <c r="C328" s="19" t="n"/>
      <c r="D328" s="19" t="n"/>
      <c r="E328" s="19" t="n"/>
      <c r="F328" s="28" t="n"/>
      <c r="G328" s="20" t="n"/>
    </row>
    <row r="329">
      <c r="A329" s="27" t="n"/>
      <c r="B329" s="19" t="n"/>
      <c r="C329" s="19" t="n"/>
      <c r="D329" s="19" t="n"/>
      <c r="E329" s="19" t="n"/>
      <c r="F329" s="28" t="n"/>
      <c r="G329" s="20" t="n"/>
    </row>
    <row r="330">
      <c r="A330" s="27" t="n"/>
      <c r="B330" s="19" t="n"/>
      <c r="C330" s="19" t="n"/>
      <c r="D330" s="19" t="n"/>
      <c r="E330" s="19" t="n"/>
      <c r="F330" s="28" t="n"/>
      <c r="G330" s="20" t="n"/>
    </row>
    <row r="331">
      <c r="A331" s="27" t="n"/>
      <c r="B331" s="19" t="n"/>
      <c r="C331" s="19" t="n"/>
      <c r="D331" s="19" t="n"/>
      <c r="E331" s="19" t="n"/>
      <c r="F331" s="28" t="n"/>
      <c r="G331" s="20" t="n"/>
    </row>
    <row r="332">
      <c r="A332" s="27" t="n"/>
      <c r="B332" s="19" t="n"/>
      <c r="C332" s="19" t="n"/>
      <c r="D332" s="19" t="n"/>
      <c r="E332" s="19" t="n"/>
      <c r="F332" s="28" t="n"/>
      <c r="G332" s="20" t="n"/>
    </row>
    <row r="333">
      <c r="A333" s="27" t="n"/>
      <c r="B333" s="19" t="n"/>
      <c r="C333" s="19" t="n"/>
      <c r="D333" s="19" t="n"/>
      <c r="E333" s="19" t="n"/>
      <c r="F333" s="28" t="n"/>
      <c r="G333" s="20" t="n"/>
    </row>
    <row r="334">
      <c r="A334" s="27" t="n"/>
      <c r="B334" s="19" t="n"/>
      <c r="C334" s="19" t="n"/>
      <c r="D334" s="19" t="n"/>
      <c r="E334" s="19" t="n"/>
      <c r="F334" s="28" t="n"/>
      <c r="G334" s="20" t="n"/>
    </row>
    <row r="335">
      <c r="A335" s="27" t="n"/>
      <c r="B335" s="19" t="n"/>
      <c r="C335" s="19" t="n"/>
      <c r="D335" s="19" t="n"/>
      <c r="E335" s="19" t="n"/>
      <c r="F335" s="28" t="n"/>
      <c r="G335" s="20" t="n"/>
    </row>
    <row r="336">
      <c r="A336" s="27" t="n"/>
      <c r="B336" s="19" t="n"/>
      <c r="C336" s="19" t="n"/>
      <c r="D336" s="19" t="n"/>
      <c r="E336" s="19" t="n"/>
      <c r="F336" s="28" t="n"/>
      <c r="G336" s="20" t="n"/>
    </row>
    <row r="337">
      <c r="A337" s="27" t="n"/>
      <c r="B337" s="19" t="n"/>
      <c r="C337" s="19" t="n"/>
      <c r="D337" s="19" t="n"/>
      <c r="E337" s="19" t="n"/>
      <c r="F337" s="28" t="n"/>
      <c r="G337" s="20" t="n"/>
    </row>
    <row r="338">
      <c r="A338" s="27" t="n"/>
      <c r="B338" s="19" t="n"/>
      <c r="C338" s="19" t="n"/>
      <c r="D338" s="19" t="n"/>
      <c r="E338" s="19" t="n"/>
      <c r="F338" s="28" t="n"/>
      <c r="G338" s="20" t="n"/>
    </row>
    <row r="339">
      <c r="A339" s="27" t="n"/>
      <c r="B339" s="19" t="n"/>
      <c r="C339" s="19" t="n"/>
      <c r="D339" s="19" t="n"/>
      <c r="E339" s="19" t="n"/>
      <c r="F339" s="28" t="n"/>
      <c r="G339" s="20" t="n"/>
    </row>
    <row r="340">
      <c r="A340" s="27" t="n"/>
      <c r="B340" s="19" t="n"/>
      <c r="C340" s="19" t="n"/>
      <c r="D340" s="19" t="n"/>
      <c r="E340" s="19" t="n"/>
      <c r="F340" s="28" t="n"/>
      <c r="G340" s="20" t="n"/>
    </row>
    <row r="341">
      <c r="A341" s="27" t="n"/>
      <c r="B341" s="19" t="n"/>
      <c r="C341" s="19" t="n"/>
      <c r="D341" s="19" t="n"/>
      <c r="E341" s="19" t="n"/>
      <c r="F341" s="28" t="n"/>
      <c r="G341" s="20" t="n"/>
    </row>
    <row r="342">
      <c r="A342" s="27" t="n"/>
      <c r="B342" s="19" t="n"/>
      <c r="C342" s="19" t="n"/>
      <c r="D342" s="19" t="n"/>
      <c r="E342" s="19" t="n"/>
      <c r="F342" s="28" t="n"/>
      <c r="G342" s="20" t="n"/>
    </row>
    <row r="343">
      <c r="A343" s="27" t="n"/>
      <c r="B343" s="19" t="n"/>
      <c r="C343" s="19" t="n"/>
      <c r="D343" s="19" t="n"/>
      <c r="E343" s="19" t="n"/>
      <c r="F343" s="28" t="n"/>
      <c r="G343" s="20" t="n"/>
    </row>
    <row r="344">
      <c r="A344" s="27" t="n"/>
      <c r="B344" s="19" t="n"/>
      <c r="C344" s="19" t="n"/>
      <c r="D344" s="19" t="n"/>
      <c r="E344" s="19" t="n"/>
      <c r="F344" s="28" t="n"/>
      <c r="G344" s="20" t="n"/>
    </row>
    <row r="345">
      <c r="A345" s="27" t="n"/>
      <c r="B345" s="19" t="n"/>
      <c r="C345" s="19" t="n"/>
      <c r="D345" s="19" t="n"/>
      <c r="E345" s="19" t="n"/>
      <c r="F345" s="28" t="n"/>
      <c r="G345" s="20" t="n"/>
    </row>
    <row r="346">
      <c r="A346" s="27" t="n"/>
      <c r="B346" s="19" t="n"/>
      <c r="C346" s="19" t="n"/>
      <c r="D346" s="19" t="n"/>
      <c r="E346" s="19" t="n"/>
      <c r="F346" s="28" t="n"/>
      <c r="G346" s="20" t="n"/>
    </row>
    <row r="347">
      <c r="A347" s="27" t="n"/>
      <c r="B347" s="19" t="n"/>
      <c r="C347" s="19" t="n"/>
      <c r="D347" s="19" t="n"/>
      <c r="E347" s="19" t="n"/>
      <c r="F347" s="28" t="n"/>
      <c r="G347" s="20" t="n"/>
    </row>
    <row r="348">
      <c r="A348" s="27" t="n"/>
      <c r="B348" s="19" t="n"/>
      <c r="C348" s="19" t="n"/>
      <c r="D348" s="19" t="n"/>
      <c r="E348" s="19" t="n"/>
      <c r="F348" s="28" t="n"/>
      <c r="G348" s="20" t="n"/>
    </row>
    <row r="349">
      <c r="A349" s="27" t="n"/>
      <c r="B349" s="19" t="n"/>
      <c r="C349" s="19" t="n"/>
      <c r="D349" s="19" t="n"/>
      <c r="E349" s="19" t="n"/>
      <c r="F349" s="28" t="n"/>
      <c r="G349" s="20" t="n"/>
    </row>
    <row r="350">
      <c r="A350" s="27" t="n"/>
      <c r="B350" s="19" t="n"/>
      <c r="C350" s="19" t="n"/>
      <c r="D350" s="19" t="n"/>
      <c r="E350" s="19" t="n"/>
      <c r="F350" s="28" t="n"/>
      <c r="G350" s="20" t="n"/>
    </row>
    <row r="351">
      <c r="A351" s="27" t="n"/>
      <c r="B351" s="19" t="n"/>
      <c r="C351" s="19" t="n"/>
      <c r="D351" s="19" t="n"/>
      <c r="E351" s="19" t="n"/>
      <c r="F351" s="28" t="n"/>
      <c r="G351" s="20" t="n"/>
    </row>
    <row r="352">
      <c r="A352" s="27" t="n"/>
      <c r="B352" s="19" t="n"/>
      <c r="C352" s="19" t="n"/>
      <c r="D352" s="19" t="n"/>
      <c r="E352" s="19" t="n"/>
      <c r="F352" s="28" t="n"/>
      <c r="G352" s="20" t="n"/>
    </row>
    <row r="353">
      <c r="A353" s="27" t="n"/>
      <c r="B353" s="19" t="n"/>
      <c r="C353" s="19" t="n"/>
      <c r="D353" s="19" t="n"/>
      <c r="E353" s="19" t="n"/>
      <c r="F353" s="28" t="n"/>
      <c r="G353" s="20" t="n"/>
    </row>
    <row r="354">
      <c r="A354" s="27" t="n"/>
      <c r="B354" s="19" t="n"/>
      <c r="C354" s="19" t="n"/>
      <c r="D354" s="19" t="n"/>
      <c r="E354" s="19" t="n"/>
      <c r="F354" s="28" t="n"/>
      <c r="G354" s="20" t="n"/>
    </row>
    <row r="355">
      <c r="A355" s="27" t="n"/>
      <c r="B355" s="19" t="n"/>
      <c r="C355" s="19" t="n"/>
      <c r="D355" s="19" t="n"/>
      <c r="E355" s="19" t="n"/>
      <c r="F355" s="28" t="n"/>
      <c r="G355" s="20" t="n"/>
    </row>
    <row r="356">
      <c r="A356" s="27" t="n"/>
      <c r="B356" s="19" t="n"/>
      <c r="C356" s="19" t="n"/>
      <c r="D356" s="19" t="n"/>
      <c r="E356" s="19" t="n"/>
      <c r="F356" s="28" t="n"/>
      <c r="G356" s="20" t="n"/>
    </row>
    <row r="357">
      <c r="A357" s="27" t="n"/>
      <c r="B357" s="19" t="n"/>
      <c r="C357" s="19" t="n"/>
      <c r="D357" s="19" t="n"/>
      <c r="E357" s="19" t="n"/>
      <c r="F357" s="28" t="n"/>
      <c r="G357" s="20" t="n"/>
    </row>
    <row r="358">
      <c r="A358" s="27" t="n"/>
      <c r="B358" s="19" t="n"/>
      <c r="C358" s="19" t="n"/>
      <c r="D358" s="19" t="n"/>
      <c r="E358" s="19" t="n"/>
      <c r="F358" s="28" t="n"/>
      <c r="G358" s="20" t="n"/>
    </row>
    <row r="359">
      <c r="A359" s="27" t="n"/>
      <c r="B359" s="19" t="n"/>
      <c r="C359" s="19" t="n"/>
      <c r="D359" s="19" t="n"/>
      <c r="E359" s="19" t="n"/>
      <c r="F359" s="28" t="n"/>
      <c r="G359" s="20" t="n"/>
    </row>
    <row r="360">
      <c r="A360" s="27" t="n"/>
      <c r="B360" s="19" t="n"/>
      <c r="C360" s="19" t="n"/>
      <c r="D360" s="19" t="n"/>
      <c r="E360" s="19" t="n"/>
      <c r="F360" s="28" t="n"/>
      <c r="G360" s="20" t="n"/>
    </row>
    <row r="361">
      <c r="A361" s="27" t="n"/>
      <c r="B361" s="19" t="n"/>
      <c r="C361" s="19" t="n"/>
      <c r="D361" s="19" t="n"/>
      <c r="E361" s="19" t="n"/>
      <c r="F361" s="28" t="n"/>
      <c r="G361" s="20" t="n"/>
    </row>
    <row r="362">
      <c r="A362" s="27" t="n"/>
      <c r="B362" s="19" t="n"/>
      <c r="C362" s="19" t="n"/>
      <c r="D362" s="19" t="n"/>
      <c r="E362" s="19" t="n"/>
      <c r="F362" s="28" t="n"/>
      <c r="G362" s="20" t="n"/>
    </row>
    <row r="363">
      <c r="A363" s="27" t="n"/>
      <c r="B363" s="19" t="n"/>
      <c r="C363" s="19" t="n"/>
      <c r="D363" s="19" t="n"/>
      <c r="E363" s="19" t="n"/>
      <c r="F363" s="28" t="n"/>
      <c r="G363" s="20" t="n"/>
    </row>
    <row r="364">
      <c r="A364" s="27" t="n"/>
      <c r="B364" s="19" t="n"/>
      <c r="C364" s="19" t="n"/>
      <c r="D364" s="19" t="n"/>
      <c r="E364" s="19" t="n"/>
      <c r="F364" s="28" t="n"/>
      <c r="G364" s="20" t="n"/>
    </row>
    <row r="365">
      <c r="A365" s="27" t="n"/>
      <c r="B365" s="19" t="n"/>
      <c r="C365" s="19" t="n"/>
      <c r="D365" s="19" t="n"/>
      <c r="E365" s="19" t="n"/>
      <c r="F365" s="28" t="n"/>
      <c r="G365" s="20" t="n"/>
    </row>
    <row r="366">
      <c r="A366" s="27" t="n"/>
      <c r="B366" s="19" t="n"/>
      <c r="C366" s="19" t="n"/>
      <c r="D366" s="19" t="n"/>
      <c r="E366" s="19" t="n"/>
      <c r="F366" s="28" t="n"/>
      <c r="G366" s="20" t="n"/>
    </row>
    <row r="367">
      <c r="A367" s="27" t="n"/>
      <c r="B367" s="19" t="n"/>
      <c r="C367" s="19" t="n"/>
      <c r="D367" s="19" t="n"/>
      <c r="E367" s="19" t="n"/>
      <c r="F367" s="28" t="n"/>
      <c r="G367" s="20" t="n"/>
    </row>
    <row r="368">
      <c r="A368" s="27" t="n"/>
      <c r="B368" s="19" t="n"/>
      <c r="C368" s="19" t="n"/>
      <c r="D368" s="19" t="n"/>
      <c r="E368" s="19" t="n"/>
      <c r="F368" s="28" t="n"/>
      <c r="G368" s="20" t="n"/>
    </row>
    <row r="369">
      <c r="A369" s="27" t="n"/>
      <c r="B369" s="19" t="n"/>
      <c r="C369" s="19" t="n"/>
      <c r="D369" s="19" t="n"/>
      <c r="E369" s="19" t="n"/>
      <c r="F369" s="28" t="n"/>
      <c r="G369" s="20" t="n"/>
    </row>
    <row r="370">
      <c r="A370" s="27" t="n"/>
      <c r="B370" s="19" t="n"/>
      <c r="C370" s="19" t="n"/>
      <c r="D370" s="19" t="n"/>
      <c r="E370" s="19" t="n"/>
      <c r="F370" s="28" t="n"/>
      <c r="G370" s="20" t="n"/>
    </row>
    <row r="371">
      <c r="A371" s="27" t="n"/>
      <c r="B371" s="19" t="n"/>
      <c r="C371" s="19" t="n"/>
      <c r="D371" s="19" t="n"/>
      <c r="E371" s="19" t="n"/>
      <c r="F371" s="28" t="n"/>
      <c r="G371" s="20" t="n"/>
    </row>
    <row r="372">
      <c r="A372" s="27" t="n"/>
      <c r="B372" s="19" t="n"/>
      <c r="C372" s="19" t="n"/>
      <c r="D372" s="19" t="n"/>
      <c r="E372" s="19" t="n"/>
      <c r="F372" s="28" t="n"/>
      <c r="G372" s="20" t="n"/>
    </row>
    <row r="373">
      <c r="A373" s="27" t="n"/>
      <c r="B373" s="19" t="n"/>
      <c r="C373" s="19" t="n"/>
      <c r="D373" s="19" t="n"/>
      <c r="E373" s="19" t="n"/>
      <c r="F373" s="28" t="n"/>
      <c r="G373" s="20" t="n"/>
    </row>
    <row r="374">
      <c r="A374" s="27" t="n"/>
      <c r="B374" s="19" t="n"/>
      <c r="C374" s="19" t="n"/>
      <c r="D374" s="19" t="n"/>
      <c r="E374" s="19" t="n"/>
      <c r="F374" s="28" t="n"/>
      <c r="G374" s="20" t="n"/>
    </row>
    <row r="375">
      <c r="A375" s="27" t="n"/>
      <c r="B375" s="19" t="n"/>
      <c r="C375" s="19" t="n"/>
      <c r="D375" s="19" t="n"/>
      <c r="E375" s="19" t="n"/>
      <c r="F375" s="28" t="n"/>
      <c r="G375" s="20" t="n"/>
    </row>
    <row r="376">
      <c r="A376" s="27" t="n"/>
      <c r="B376" s="19" t="n"/>
      <c r="C376" s="19" t="n"/>
      <c r="D376" s="19" t="n"/>
      <c r="E376" s="19" t="n"/>
      <c r="F376" s="28" t="n"/>
      <c r="G376" s="20" t="n"/>
    </row>
    <row r="377">
      <c r="A377" s="27" t="n"/>
      <c r="B377" s="19" t="n"/>
      <c r="C377" s="19" t="n"/>
      <c r="D377" s="19" t="n"/>
      <c r="E377" s="19" t="n"/>
      <c r="F377" s="28" t="n"/>
      <c r="G377" s="20" t="n"/>
    </row>
    <row r="378">
      <c r="A378" s="27" t="n"/>
      <c r="B378" s="19" t="n"/>
      <c r="C378" s="19" t="n"/>
      <c r="D378" s="19" t="n"/>
      <c r="E378" s="19" t="n"/>
      <c r="F378" s="28" t="n"/>
      <c r="G378" s="20" t="n"/>
    </row>
    <row r="379">
      <c r="A379" s="27" t="n"/>
      <c r="B379" s="19" t="n"/>
      <c r="C379" s="19" t="n"/>
      <c r="D379" s="19" t="n"/>
      <c r="E379" s="19" t="n"/>
      <c r="F379" s="28" t="n"/>
      <c r="G379" s="20" t="n"/>
    </row>
    <row r="380">
      <c r="A380" s="27" t="n"/>
      <c r="B380" s="19" t="n"/>
      <c r="C380" s="19" t="n"/>
      <c r="D380" s="19" t="n"/>
      <c r="E380" s="19" t="n"/>
      <c r="F380" s="28" t="n"/>
      <c r="G380" s="20" t="n"/>
    </row>
    <row r="381">
      <c r="A381" s="27" t="n"/>
      <c r="B381" s="19" t="n"/>
      <c r="C381" s="19" t="n"/>
      <c r="D381" s="19" t="n"/>
      <c r="E381" s="19" t="n"/>
      <c r="F381" s="28" t="n"/>
      <c r="G381" s="20" t="n"/>
    </row>
    <row r="382">
      <c r="A382" s="27" t="n"/>
      <c r="B382" s="19" t="n"/>
      <c r="C382" s="19" t="n"/>
      <c r="D382" s="19" t="n"/>
      <c r="E382" s="19" t="n"/>
      <c r="F382" s="28" t="n"/>
      <c r="G382" s="20" t="n"/>
    </row>
    <row r="383">
      <c r="A383" s="27" t="n"/>
      <c r="B383" s="19" t="n"/>
      <c r="C383" s="19" t="n"/>
      <c r="D383" s="19" t="n"/>
      <c r="E383" s="19" t="n"/>
      <c r="F383" s="28" t="n"/>
      <c r="G383" s="20" t="n"/>
    </row>
    <row r="384">
      <c r="A384" s="27" t="n"/>
      <c r="B384" s="19" t="n"/>
      <c r="C384" s="19" t="n"/>
      <c r="D384" s="19" t="n"/>
      <c r="E384" s="19" t="n"/>
      <c r="F384" s="28" t="n"/>
      <c r="G384" s="20" t="n"/>
    </row>
    <row r="385">
      <c r="A385" s="27" t="n"/>
      <c r="B385" s="19" t="n"/>
      <c r="C385" s="19" t="n"/>
      <c r="D385" s="19" t="n"/>
      <c r="E385" s="19" t="n"/>
      <c r="F385" s="28" t="n"/>
      <c r="G385" s="20" t="n"/>
    </row>
    <row r="386">
      <c r="A386" s="27" t="n"/>
      <c r="B386" s="19" t="n"/>
      <c r="C386" s="19" t="n"/>
      <c r="D386" s="19" t="n"/>
      <c r="E386" s="19" t="n"/>
      <c r="F386" s="28" t="n"/>
      <c r="G386" s="20" t="n"/>
    </row>
    <row r="387">
      <c r="A387" s="27" t="n"/>
      <c r="B387" s="19" t="n"/>
      <c r="C387" s="19" t="n"/>
      <c r="D387" s="19" t="n"/>
      <c r="E387" s="19" t="n"/>
      <c r="F387" s="28" t="n"/>
      <c r="G387" s="20" t="n"/>
    </row>
    <row r="388">
      <c r="A388" s="27" t="n"/>
      <c r="B388" s="19" t="n"/>
      <c r="C388" s="19" t="n"/>
      <c r="D388" s="19" t="n"/>
      <c r="E388" s="19" t="n"/>
      <c r="F388" s="28" t="n"/>
      <c r="G388" s="20" t="n"/>
    </row>
    <row r="389">
      <c r="A389" s="27" t="n"/>
      <c r="B389" s="19" t="n"/>
      <c r="C389" s="19" t="n"/>
      <c r="D389" s="19" t="n"/>
      <c r="E389" s="19" t="n"/>
      <c r="F389" s="28" t="n"/>
      <c r="G389" s="20" t="n"/>
    </row>
    <row r="390">
      <c r="A390" s="27" t="n"/>
      <c r="B390" s="19" t="n"/>
      <c r="C390" s="19" t="n"/>
      <c r="D390" s="19" t="n"/>
      <c r="E390" s="19" t="n"/>
      <c r="F390" s="28" t="n"/>
      <c r="G390" s="20" t="n"/>
    </row>
    <row r="391">
      <c r="A391" s="27" t="n"/>
      <c r="B391" s="19" t="n"/>
      <c r="C391" s="19" t="n"/>
      <c r="D391" s="19" t="n"/>
      <c r="E391" s="19" t="n"/>
      <c r="F391" s="28" t="n"/>
      <c r="G391" s="20" t="n"/>
    </row>
    <row r="392">
      <c r="A392" s="27" t="n"/>
      <c r="B392" s="19" t="n"/>
      <c r="C392" s="19" t="n"/>
      <c r="D392" s="19" t="n"/>
      <c r="E392" s="19" t="n"/>
      <c r="F392" s="28" t="n"/>
      <c r="G392" s="20" t="n"/>
    </row>
    <row r="393">
      <c r="A393" s="27" t="n"/>
      <c r="B393" s="19" t="n"/>
      <c r="C393" s="19" t="n"/>
      <c r="D393" s="19" t="n"/>
      <c r="E393" s="19" t="n"/>
      <c r="F393" s="28" t="n"/>
      <c r="G393" s="20" t="n"/>
    </row>
    <row r="394">
      <c r="A394" s="27" t="n"/>
      <c r="B394" s="19" t="n"/>
      <c r="C394" s="19" t="n"/>
      <c r="D394" s="19" t="n"/>
      <c r="E394" s="19" t="n"/>
      <c r="F394" s="28" t="n"/>
      <c r="G394" s="20" t="n"/>
    </row>
    <row r="395">
      <c r="A395" s="27" t="n"/>
      <c r="B395" s="19" t="n"/>
      <c r="C395" s="19" t="n"/>
      <c r="D395" s="19" t="n"/>
      <c r="E395" s="19" t="n"/>
      <c r="F395" s="28" t="n"/>
      <c r="G395" s="20" t="n"/>
    </row>
    <row r="396">
      <c r="A396" s="27" t="n"/>
      <c r="B396" s="19" t="n"/>
      <c r="C396" s="19" t="n"/>
      <c r="D396" s="19" t="n"/>
      <c r="E396" s="19" t="n"/>
      <c r="F396" s="28" t="n"/>
      <c r="G396" s="20" t="n"/>
    </row>
    <row r="397">
      <c r="A397" s="27" t="n"/>
      <c r="B397" s="19" t="n"/>
      <c r="C397" s="19" t="n"/>
      <c r="D397" s="19" t="n"/>
      <c r="E397" s="19" t="n"/>
      <c r="F397" s="28" t="n"/>
      <c r="G397" s="20" t="n"/>
    </row>
    <row r="398">
      <c r="A398" s="27" t="n"/>
      <c r="B398" s="19" t="n"/>
      <c r="C398" s="19" t="n"/>
      <c r="D398" s="19" t="n"/>
      <c r="E398" s="19" t="n"/>
      <c r="F398" s="28" t="n"/>
      <c r="G398" s="20" t="n"/>
    </row>
    <row r="399">
      <c r="A399" s="27" t="n"/>
      <c r="B399" s="19" t="n"/>
      <c r="C399" s="19" t="n"/>
      <c r="D399" s="19" t="n"/>
      <c r="E399" s="19" t="n"/>
      <c r="F399" s="28" t="n"/>
      <c r="G399" s="20" t="n"/>
    </row>
    <row r="400">
      <c r="A400" s="27" t="n"/>
      <c r="B400" s="19" t="n"/>
      <c r="C400" s="19" t="n"/>
      <c r="D400" s="19" t="n"/>
      <c r="E400" s="19" t="n"/>
      <c r="F400" s="28" t="n"/>
      <c r="G400" s="20" t="n"/>
    </row>
    <row r="401">
      <c r="A401" s="27" t="n"/>
      <c r="B401" s="19" t="n"/>
      <c r="C401" s="19" t="n"/>
      <c r="D401" s="19" t="n"/>
      <c r="E401" s="19" t="n"/>
      <c r="F401" s="28" t="n"/>
      <c r="G401" s="20" t="n"/>
    </row>
    <row r="402">
      <c r="A402" s="27" t="n"/>
      <c r="B402" s="19" t="n"/>
      <c r="C402" s="19" t="n"/>
      <c r="D402" s="19" t="n"/>
      <c r="E402" s="19" t="n"/>
      <c r="F402" s="28" t="n"/>
      <c r="G402" s="20" t="n"/>
    </row>
    <row r="403">
      <c r="A403" s="27" t="n"/>
      <c r="B403" s="19" t="n"/>
      <c r="C403" s="19" t="n"/>
      <c r="D403" s="19" t="n"/>
      <c r="E403" s="19" t="n"/>
      <c r="F403" s="28" t="n"/>
      <c r="G403" s="20" t="n"/>
    </row>
    <row r="404">
      <c r="A404" s="27" t="n"/>
      <c r="B404" s="19" t="n"/>
      <c r="C404" s="19" t="n"/>
      <c r="D404" s="19" t="n"/>
      <c r="E404" s="19" t="n"/>
      <c r="F404" s="28" t="n"/>
      <c r="G404" s="20" t="n"/>
    </row>
  </sheetData>
  <autoFilter ref="A4:G404"/>
  <conditionalFormatting sqref="E5:E404">
    <cfRule type="expression" priority="1" dxfId="4">
      <formula>AND(E5&lt;&gt;"",E5&lt;&gt;"—",E5&lt;&gt;"-",E5&lt;&gt;"None")</formula>
    </cfRule>
  </conditionalFormatting>
  <dataValidations count="1">
    <dataValidation sqref="B5:B404" showDropDown="0" showInputMessage="0" showErrorMessage="1" allowBlank="1" errorTitle="Pick from the list" error="Choose a value from the drop-down." type="list">
      <formula1>Team!$A$5:$A$14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2B76A"/>
    <outlinePr summaryBelow="1" summaryRight="1"/>
    <pageSetUpPr/>
  </sheetPr>
  <dimension ref="A1:O3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8" customWidth="1" min="4" max="4"/>
    <col width="9" customWidth="1" min="5" max="5"/>
    <col width="9" customWidth="1" min="6" max="6"/>
    <col width="10" customWidth="1" min="7" max="7"/>
    <col width="2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28" customHeight="1">
      <c r="A1" s="1" t="inlineStr">
        <is>
          <t>Learning Progress</t>
        </is>
      </c>
    </row>
    <row r="2">
      <c r="A2" s="2" t="inlineStr">
        <is>
          <t>Each member marks their own status per topic (Not started / In progress / Done). Topics come from docs/learning-resources.md.</t>
        </is>
      </c>
    </row>
    <row r="4" ht="30" customHeight="1">
      <c r="A4" s="12" t="inlineStr">
        <is>
          <t>#</t>
        </is>
      </c>
      <c r="B4" s="12" t="inlineStr">
        <is>
          <t>Area</t>
        </is>
      </c>
      <c r="C4" s="12" t="inlineStr">
        <is>
          <t>Topic</t>
        </is>
      </c>
      <c r="D4" s="12" t="inlineStr">
        <is>
          <t>Resource</t>
        </is>
      </c>
      <c r="E4" s="12" t="inlineStr">
        <is>
          <t>Est. hours</t>
        </is>
      </c>
      <c r="F4" s="12" t="inlineStr">
        <is>
          <t>Team done</t>
        </is>
      </c>
      <c r="G4" s="12" t="inlineStr">
        <is>
          <t>Team % done</t>
        </is>
      </c>
      <c r="H4" s="29" t="inlineStr"/>
      <c r="I4" s="29" t="inlineStr"/>
      <c r="J4" s="12" t="inlineStr">
        <is>
          <t>Abdallah Ismail</t>
        </is>
      </c>
      <c r="K4" s="12" t="inlineStr">
        <is>
          <t>Omar Seifelnasr</t>
        </is>
      </c>
      <c r="L4" s="12" t="inlineStr">
        <is>
          <t>Abdulrahman Omran</t>
        </is>
      </c>
      <c r="M4" s="12" t="inlineStr">
        <is>
          <t>Anas Elgalad</t>
        </is>
      </c>
      <c r="N4" s="12" t="inlineStr">
        <is>
          <t>Mohamed Abd Elaal</t>
        </is>
      </c>
      <c r="O4" s="12" t="inlineStr">
        <is>
          <t>Mohamed Salah</t>
        </is>
      </c>
    </row>
    <row r="5">
      <c r="C5" s="30" t="inlineStr">
        <is>
          <t>Per-member progress →</t>
        </is>
      </c>
      <c r="J5" s="31">
        <f>COUNTIF(J9:J34,"Done")&amp;" / "&amp;COUNTA($C$9:$C$34)</f>
        <v/>
      </c>
      <c r="K5" s="31">
        <f>COUNTIF(K9:K34,"Done")&amp;" / "&amp;COUNTA($C$9:$C$34)</f>
        <v/>
      </c>
      <c r="L5" s="31">
        <f>COUNTIF(L9:L34,"Done")&amp;" / "&amp;COUNTA($C$9:$C$34)</f>
        <v/>
      </c>
      <c r="M5" s="31">
        <f>COUNTIF(M9:M34,"Done")&amp;" / "&amp;COUNTA($C$9:$C$34)</f>
        <v/>
      </c>
      <c r="N5" s="31">
        <f>COUNTIF(N9:N34,"Done")&amp;" / "&amp;COUNTA($C$9:$C$34)</f>
        <v/>
      </c>
      <c r="O5" s="31">
        <f>COUNTIF(O9:O34,"Done")&amp;" / "&amp;COUNTA($C$9:$C$34)</f>
        <v/>
      </c>
    </row>
    <row r="6">
      <c r="C6" s="30" t="inlineStr">
        <is>
          <t>Share of topics done →</t>
        </is>
      </c>
      <c r="J6" s="32">
        <f>IFERROR(COUNTIF(J9:J34,"Done")/COUNTA($C$9:$C$34),0)</f>
        <v/>
      </c>
      <c r="K6" s="32">
        <f>IFERROR(COUNTIF(K9:K34,"Done")/COUNTA($C$9:$C$34),0)</f>
        <v/>
      </c>
      <c r="L6" s="32">
        <f>IFERROR(COUNTIF(L9:L34,"Done")/COUNTA($C$9:$C$34),0)</f>
        <v/>
      </c>
      <c r="M6" s="32">
        <f>IFERROR(COUNTIF(M9:M34,"Done")/COUNTA($C$9:$C$34),0)</f>
        <v/>
      </c>
      <c r="N6" s="32">
        <f>IFERROR(COUNTIF(N9:N34,"Done")/COUNTA($C$9:$C$34),0)</f>
        <v/>
      </c>
      <c r="O6" s="32">
        <f>IFERROR(COUNTIF(O9:O34,"Done")/COUNTA($C$9:$C$34),0)</f>
        <v/>
      </c>
    </row>
    <row r="7">
      <c r="C7" s="30" t="inlineStr">
        <is>
          <t>Hours of study done →</t>
        </is>
      </c>
      <c r="J7" s="33">
        <f>SUMIF(J9:J34,"Done",$E$9:$E$34)</f>
        <v/>
      </c>
      <c r="K7" s="33">
        <f>SUMIF(K9:K34,"Done",$E$9:$E$34)</f>
        <v/>
      </c>
      <c r="L7" s="33">
        <f>SUMIF(L9:L34,"Done",$E$9:$E$34)</f>
        <v/>
      </c>
      <c r="M7" s="33">
        <f>SUMIF(M9:M34,"Done",$E$9:$E$34)</f>
        <v/>
      </c>
      <c r="N7" s="33">
        <f>SUMIF(N9:N34,"Done",$E$9:$E$34)</f>
        <v/>
      </c>
      <c r="O7" s="33">
        <f>SUMIF(O9:O34,"Done",$E$9:$E$34)</f>
        <v/>
      </c>
    </row>
    <row r="9">
      <c r="A9" s="13" t="n">
        <v>1</v>
      </c>
      <c r="B9" s="34" t="inlineStr">
        <is>
          <t>Python data wrangling</t>
        </is>
      </c>
      <c r="C9" s="34" t="inlineStr">
        <is>
          <t>pandas basics</t>
        </is>
      </c>
      <c r="D9" s="35" t="inlineStr">
        <is>
          <t>Kaggle Learn: Pandas</t>
        </is>
      </c>
      <c r="E9" s="13" t="n">
        <v>4</v>
      </c>
      <c r="F9" s="13">
        <f>COUNTIF(J9:O9,"Done")&amp;" / 6"</f>
        <v/>
      </c>
      <c r="G9" s="14">
        <f>COUNTIF(J9:O9,"Done")/6</f>
        <v/>
      </c>
      <c r="J9" s="20" t="inlineStr">
        <is>
          <t>Not started</t>
        </is>
      </c>
      <c r="K9" s="20" t="inlineStr">
        <is>
          <t>Not started</t>
        </is>
      </c>
      <c r="L9" s="20" t="inlineStr">
        <is>
          <t>Not started</t>
        </is>
      </c>
      <c r="M9" s="20" t="inlineStr">
        <is>
          <t>Not started</t>
        </is>
      </c>
      <c r="N9" s="20" t="inlineStr">
        <is>
          <t>Not started</t>
        </is>
      </c>
      <c r="O9" s="20" t="inlineStr">
        <is>
          <t>Not started</t>
        </is>
      </c>
    </row>
    <row r="10">
      <c r="A10" s="13" t="n">
        <v>2</v>
      </c>
      <c r="B10" s="34" t="inlineStr">
        <is>
          <t>Python data wrangling</t>
        </is>
      </c>
      <c r="C10" s="34" t="inlineStr">
        <is>
          <t>groupby, pivot, time series</t>
        </is>
      </c>
      <c r="D10" s="35" t="inlineStr">
        <is>
          <t>pandas User Guide</t>
        </is>
      </c>
      <c r="E10" s="13" t="n"/>
      <c r="F10" s="13">
        <f>COUNTIF(J10:O10,"Done")&amp;" / 6"</f>
        <v/>
      </c>
      <c r="G10" s="14">
        <f>COUNTIF(J10:O10,"Done")/6</f>
        <v/>
      </c>
      <c r="J10" s="20" t="inlineStr">
        <is>
          <t>Not started</t>
        </is>
      </c>
      <c r="K10" s="20" t="inlineStr">
        <is>
          <t>Not started</t>
        </is>
      </c>
      <c r="L10" s="20" t="inlineStr">
        <is>
          <t>Not started</t>
        </is>
      </c>
      <c r="M10" s="20" t="inlineStr">
        <is>
          <t>Not started</t>
        </is>
      </c>
      <c r="N10" s="20" t="inlineStr">
        <is>
          <t>Not started</t>
        </is>
      </c>
      <c r="O10" s="20" t="inlineStr">
        <is>
          <t>Not started</t>
        </is>
      </c>
    </row>
    <row r="11">
      <c r="A11" s="13" t="n">
        <v>3</v>
      </c>
      <c r="B11" s="34" t="inlineStr">
        <is>
          <t>Python data wrangling</t>
        </is>
      </c>
      <c r="C11" s="34" t="inlineStr">
        <is>
          <t>NumPy, pandas, matplotlib</t>
        </is>
      </c>
      <c r="D11" s="35" t="inlineStr">
        <is>
          <t>Python Data Science Handbook</t>
        </is>
      </c>
      <c r="E11" s="13" t="n"/>
      <c r="F11" s="13">
        <f>COUNTIF(J11:O11,"Done")&amp;" / 6"</f>
        <v/>
      </c>
      <c r="G11" s="14">
        <f>COUNTIF(J11:O11,"Done")/6</f>
        <v/>
      </c>
      <c r="J11" s="20" t="inlineStr">
        <is>
          <t>Not started</t>
        </is>
      </c>
      <c r="K11" s="20" t="inlineStr">
        <is>
          <t>Not started</t>
        </is>
      </c>
      <c r="L11" s="20" t="inlineStr">
        <is>
          <t>Not started</t>
        </is>
      </c>
      <c r="M11" s="20" t="inlineStr">
        <is>
          <t>Not started</t>
        </is>
      </c>
      <c r="N11" s="20" t="inlineStr">
        <is>
          <t>Not started</t>
        </is>
      </c>
      <c r="O11" s="20" t="inlineStr">
        <is>
          <t>Not started</t>
        </is>
      </c>
    </row>
    <row r="12">
      <c r="A12" s="13" t="n">
        <v>4</v>
      </c>
      <c r="B12" s="34" t="inlineStr">
        <is>
          <t>Data quality and cleaning (Tasks 1–2)</t>
        </is>
      </c>
      <c r="C12" s="34" t="inlineStr">
        <is>
          <t>Missing values, scaling, dates, encodings</t>
        </is>
      </c>
      <c r="D12" s="35" t="inlineStr">
        <is>
          <t>Kaggle Learn: Data Cleaning</t>
        </is>
      </c>
      <c r="E12" s="13" t="n">
        <v>4</v>
      </c>
      <c r="F12" s="13">
        <f>COUNTIF(J12:O12,"Done")&amp;" / 6"</f>
        <v/>
      </c>
      <c r="G12" s="14">
        <f>COUNTIF(J12:O12,"Done")/6</f>
        <v/>
      </c>
      <c r="J12" s="20" t="inlineStr">
        <is>
          <t>Not started</t>
        </is>
      </c>
      <c r="K12" s="20" t="inlineStr">
        <is>
          <t>Not started</t>
        </is>
      </c>
      <c r="L12" s="20" t="inlineStr">
        <is>
          <t>Not started</t>
        </is>
      </c>
      <c r="M12" s="20" t="inlineStr">
        <is>
          <t>Not started</t>
        </is>
      </c>
      <c r="N12" s="20" t="inlineStr">
        <is>
          <t>Not started</t>
        </is>
      </c>
      <c r="O12" s="20" t="inlineStr">
        <is>
          <t>Not started</t>
        </is>
      </c>
    </row>
    <row r="13">
      <c r="A13" s="13" t="n">
        <v>5</v>
      </c>
      <c r="B13" s="34" t="inlineStr">
        <is>
          <t>Data quality and cleaning (Tasks 1–2)</t>
        </is>
      </c>
      <c r="C13" s="34" t="inlineStr">
        <is>
          <t>Missing data in pandas</t>
        </is>
      </c>
      <c r="D13" s="35" t="inlineStr">
        <is>
          <t>pandas: Working with missing data</t>
        </is>
      </c>
      <c r="E13" s="13" t="n">
        <v>0.5</v>
      </c>
      <c r="F13" s="13">
        <f>COUNTIF(J13:O13,"Done")&amp;" / 6"</f>
        <v/>
      </c>
      <c r="G13" s="14">
        <f>COUNTIF(J13:O13,"Done")/6</f>
        <v/>
      </c>
      <c r="J13" s="20" t="inlineStr">
        <is>
          <t>Not started</t>
        </is>
      </c>
      <c r="K13" s="20" t="inlineStr">
        <is>
          <t>Not started</t>
        </is>
      </c>
      <c r="L13" s="20" t="inlineStr">
        <is>
          <t>Not started</t>
        </is>
      </c>
      <c r="M13" s="20" t="inlineStr">
        <is>
          <t>Not started</t>
        </is>
      </c>
      <c r="N13" s="20" t="inlineStr">
        <is>
          <t>Not started</t>
        </is>
      </c>
      <c r="O13" s="20" t="inlineStr">
        <is>
          <t>Not started</t>
        </is>
      </c>
    </row>
    <row r="14">
      <c r="A14" s="13" t="n">
        <v>6</v>
      </c>
      <c r="B14" s="34" t="inlineStr">
        <is>
          <t>Data quality and cleaning (Tasks 1–2)</t>
        </is>
      </c>
      <c r="C14" s="34" t="inlineStr">
        <is>
          <t>The dataset</t>
        </is>
      </c>
      <c r="D14" s="35" t="inlineStr">
        <is>
          <t>UCI 501: Beijing Multi-Site Air Quality</t>
        </is>
      </c>
      <c r="E14" s="13" t="n">
        <v>0.25</v>
      </c>
      <c r="F14" s="13">
        <f>COUNTIF(J14:O14,"Done")&amp;" / 6"</f>
        <v/>
      </c>
      <c r="G14" s="14">
        <f>COUNTIF(J14:O14,"Done")/6</f>
        <v/>
      </c>
      <c r="J14" s="20" t="inlineStr">
        <is>
          <t>Not started</t>
        </is>
      </c>
      <c r="K14" s="20" t="inlineStr">
        <is>
          <t>Not started</t>
        </is>
      </c>
      <c r="L14" s="20" t="inlineStr">
        <is>
          <t>Not started</t>
        </is>
      </c>
      <c r="M14" s="20" t="inlineStr">
        <is>
          <t>Not started</t>
        </is>
      </c>
      <c r="N14" s="20" t="inlineStr">
        <is>
          <t>Not started</t>
        </is>
      </c>
      <c r="O14" s="20" t="inlineStr">
        <is>
          <t>Not started</t>
        </is>
      </c>
    </row>
    <row r="15">
      <c r="A15" s="13" t="n">
        <v>7</v>
      </c>
      <c r="B15" s="34" t="inlineStr">
        <is>
          <t>Imputation (Task 3)</t>
        </is>
      </c>
      <c r="C15" s="34" t="inlineStr">
        <is>
          <t>Simple/KNN/Iterative imputers, missing indicators</t>
        </is>
      </c>
      <c r="D15" s="35" t="inlineStr">
        <is>
          <t>scikit-learn: Imputation</t>
        </is>
      </c>
      <c r="E15" s="13" t="n">
        <v>0.75</v>
      </c>
      <c r="F15" s="13">
        <f>COUNTIF(J15:O15,"Done")&amp;" / 6"</f>
        <v/>
      </c>
      <c r="G15" s="14">
        <f>COUNTIF(J15:O15,"Done")/6</f>
        <v/>
      </c>
      <c r="J15" s="20" t="inlineStr">
        <is>
          <t>Not started</t>
        </is>
      </c>
      <c r="K15" s="20" t="inlineStr">
        <is>
          <t>Not started</t>
        </is>
      </c>
      <c r="L15" s="20" t="inlineStr">
        <is>
          <t>Not started</t>
        </is>
      </c>
      <c r="M15" s="20" t="inlineStr">
        <is>
          <t>Not started</t>
        </is>
      </c>
      <c r="N15" s="20" t="inlineStr">
        <is>
          <t>Not started</t>
        </is>
      </c>
      <c r="O15" s="20" t="inlineStr">
        <is>
          <t>Not started</t>
        </is>
      </c>
    </row>
    <row r="16">
      <c r="A16" s="13" t="n">
        <v>8</v>
      </c>
      <c r="B16" s="34" t="inlineStr">
        <is>
          <t>Imputation (Task 3)</t>
        </is>
      </c>
      <c r="C16" s="34" t="inlineStr">
        <is>
          <t>Limited time interpolation</t>
        </is>
      </c>
      <c r="D16" s="35" t="inlineStr">
        <is>
          <t>pandas `Series.interpolate`</t>
        </is>
      </c>
      <c r="E16" s="13" t="n">
        <v>0.25</v>
      </c>
      <c r="F16" s="13">
        <f>COUNTIF(J16:O16,"Done")&amp;" / 6"</f>
        <v/>
      </c>
      <c r="G16" s="14">
        <f>COUNTIF(J16:O16,"Done")/6</f>
        <v/>
      </c>
      <c r="J16" s="20" t="inlineStr">
        <is>
          <t>Not started</t>
        </is>
      </c>
      <c r="K16" s="20" t="inlineStr">
        <is>
          <t>Not started</t>
        </is>
      </c>
      <c r="L16" s="20" t="inlineStr">
        <is>
          <t>Not started</t>
        </is>
      </c>
      <c r="M16" s="20" t="inlineStr">
        <is>
          <t>Not started</t>
        </is>
      </c>
      <c r="N16" s="20" t="inlineStr">
        <is>
          <t>Not started</t>
        </is>
      </c>
      <c r="O16" s="20" t="inlineStr">
        <is>
          <t>Not started</t>
        </is>
      </c>
    </row>
    <row r="17">
      <c r="A17" s="13" t="n">
        <v>9</v>
      </c>
      <c r="B17" s="34" t="inlineStr">
        <is>
          <t>Imputation (Task 3)</t>
        </is>
      </c>
      <c r="C17" s="34" t="inlineStr">
        <is>
          <t>MCAR / MAR / MNAR</t>
        </is>
      </c>
      <c r="D17" s="35" t="inlineStr">
        <is>
          <t>Flexible Imputation of Missing Data, ch. 1–2</t>
        </is>
      </c>
      <c r="E17" s="13" t="n">
        <v>1</v>
      </c>
      <c r="F17" s="13">
        <f>COUNTIF(J17:O17,"Done")&amp;" / 6"</f>
        <v/>
      </c>
      <c r="G17" s="14">
        <f>COUNTIF(J17:O17,"Done")/6</f>
        <v/>
      </c>
      <c r="J17" s="20" t="inlineStr">
        <is>
          <t>Not started</t>
        </is>
      </c>
      <c r="K17" s="20" t="inlineStr">
        <is>
          <t>Not started</t>
        </is>
      </c>
      <c r="L17" s="20" t="inlineStr">
        <is>
          <t>Not started</t>
        </is>
      </c>
      <c r="M17" s="20" t="inlineStr">
        <is>
          <t>Not started</t>
        </is>
      </c>
      <c r="N17" s="20" t="inlineStr">
        <is>
          <t>Not started</t>
        </is>
      </c>
      <c r="O17" s="20" t="inlineStr">
        <is>
          <t>Not started</t>
        </is>
      </c>
    </row>
    <row r="18">
      <c r="A18" s="13" t="n">
        <v>10</v>
      </c>
      <c r="B18" s="34" t="inlineStr">
        <is>
          <t>Outliers and transformations (Task 4)</t>
        </is>
      </c>
      <c r="C18" s="34" t="inlineStr">
        <is>
          <t>Log, power and quantile transforms</t>
        </is>
      </c>
      <c r="D18" s="35" t="inlineStr">
        <is>
          <t>scikit-learn: Preprocessing</t>
        </is>
      </c>
      <c r="E18" s="13" t="n">
        <v>0.5</v>
      </c>
      <c r="F18" s="13">
        <f>COUNTIF(J18:O18,"Done")&amp;" / 6"</f>
        <v/>
      </c>
      <c r="G18" s="14">
        <f>COUNTIF(J18:O18,"Done")/6</f>
        <v/>
      </c>
      <c r="J18" s="20" t="inlineStr">
        <is>
          <t>Not started</t>
        </is>
      </c>
      <c r="K18" s="20" t="inlineStr">
        <is>
          <t>Not started</t>
        </is>
      </c>
      <c r="L18" s="20" t="inlineStr">
        <is>
          <t>Not started</t>
        </is>
      </c>
      <c r="M18" s="20" t="inlineStr">
        <is>
          <t>Not started</t>
        </is>
      </c>
      <c r="N18" s="20" t="inlineStr">
        <is>
          <t>Not started</t>
        </is>
      </c>
      <c r="O18" s="20" t="inlineStr">
        <is>
          <t>Not started</t>
        </is>
      </c>
    </row>
    <row r="19">
      <c r="A19" s="13" t="n">
        <v>11</v>
      </c>
      <c r="B19" s="34" t="inlineStr">
        <is>
          <t>Outliers and transformations (Task 4)</t>
        </is>
      </c>
      <c r="C19" s="34" t="inlineStr">
        <is>
          <t>Outlier detection</t>
        </is>
      </c>
      <c r="D19" s="35" t="inlineStr">
        <is>
          <t>scikit-learn: Novelty and outlier detection</t>
        </is>
      </c>
      <c r="E19" s="13" t="n">
        <v>0.5</v>
      </c>
      <c r="F19" s="13">
        <f>COUNTIF(J19:O19,"Done")&amp;" / 6"</f>
        <v/>
      </c>
      <c r="G19" s="14">
        <f>COUNTIF(J19:O19,"Done")/6</f>
        <v/>
      </c>
      <c r="J19" s="20" t="inlineStr">
        <is>
          <t>Not started</t>
        </is>
      </c>
      <c r="K19" s="20" t="inlineStr">
        <is>
          <t>Not started</t>
        </is>
      </c>
      <c r="L19" s="20" t="inlineStr">
        <is>
          <t>Not started</t>
        </is>
      </c>
      <c r="M19" s="20" t="inlineStr">
        <is>
          <t>Not started</t>
        </is>
      </c>
      <c r="N19" s="20" t="inlineStr">
        <is>
          <t>Not started</t>
        </is>
      </c>
      <c r="O19" s="20" t="inlineStr">
        <is>
          <t>Not started</t>
        </is>
      </c>
    </row>
    <row r="20">
      <c r="A20" s="13" t="n">
        <v>12</v>
      </c>
      <c r="B20" s="34" t="inlineStr">
        <is>
          <t>Outliers and transformations (Task 4)</t>
        </is>
      </c>
      <c r="C20" s="34" t="inlineStr">
        <is>
          <t>Outlier basics</t>
        </is>
      </c>
      <c r="D20" s="35" t="inlineStr">
        <is>
          <t>NIST e-Handbook: Detection of outliers</t>
        </is>
      </c>
      <c r="E20" s="13" t="n">
        <v>0.33</v>
      </c>
      <c r="F20" s="13">
        <f>COUNTIF(J20:O20,"Done")&amp;" / 6"</f>
        <v/>
      </c>
      <c r="G20" s="14">
        <f>COUNTIF(J20:O20,"Done")/6</f>
        <v/>
      </c>
      <c r="J20" s="20" t="inlineStr">
        <is>
          <t>Not started</t>
        </is>
      </c>
      <c r="K20" s="20" t="inlineStr">
        <is>
          <t>Not started</t>
        </is>
      </c>
      <c r="L20" s="20" t="inlineStr">
        <is>
          <t>Not started</t>
        </is>
      </c>
      <c r="M20" s="20" t="inlineStr">
        <is>
          <t>Not started</t>
        </is>
      </c>
      <c r="N20" s="20" t="inlineStr">
        <is>
          <t>Not started</t>
        </is>
      </c>
      <c r="O20" s="20" t="inlineStr">
        <is>
          <t>Not started</t>
        </is>
      </c>
    </row>
    <row r="21">
      <c r="A21" s="13" t="n">
        <v>13</v>
      </c>
      <c r="B21" s="34" t="inlineStr">
        <is>
          <t>Leak-free pipelines and time-series CV (Tasks 5–6)</t>
        </is>
      </c>
      <c r="C21" s="34" t="inlineStr">
        <is>
          <t>Pipeline, ColumnTransformer, TransformedTargetRegressor</t>
        </is>
      </c>
      <c r="D21" s="35" t="inlineStr">
        <is>
          <t>scikit-learn: Composite estimators</t>
        </is>
      </c>
      <c r="E21" s="13" t="n">
        <v>0.75</v>
      </c>
      <c r="F21" s="13">
        <f>COUNTIF(J21:O21,"Done")&amp;" / 6"</f>
        <v/>
      </c>
      <c r="G21" s="14">
        <f>COUNTIF(J21:O21,"Done")/6</f>
        <v/>
      </c>
      <c r="J21" s="20" t="inlineStr">
        <is>
          <t>Not started</t>
        </is>
      </c>
      <c r="K21" s="20" t="inlineStr">
        <is>
          <t>Not started</t>
        </is>
      </c>
      <c r="L21" s="20" t="inlineStr">
        <is>
          <t>Not started</t>
        </is>
      </c>
      <c r="M21" s="20" t="inlineStr">
        <is>
          <t>Not started</t>
        </is>
      </c>
      <c r="N21" s="20" t="inlineStr">
        <is>
          <t>Not started</t>
        </is>
      </c>
      <c r="O21" s="20" t="inlineStr">
        <is>
          <t>Not started</t>
        </is>
      </c>
    </row>
    <row r="22">
      <c r="A22" s="13" t="n">
        <v>14</v>
      </c>
      <c r="B22" s="34" t="inlineStr">
        <is>
          <t>Leak-free pipelines and time-series CV (Tasks 5–6)</t>
        </is>
      </c>
      <c r="C22" s="34" t="inlineStr">
        <is>
          <t>**Data leakage**</t>
        </is>
      </c>
      <c r="D22" s="35" t="inlineStr">
        <is>
          <t>scikit-learn: Common pitfalls</t>
        </is>
      </c>
      <c r="E22" s="13" t="n">
        <v>0.75</v>
      </c>
      <c r="F22" s="13">
        <f>COUNTIF(J22:O22,"Done")&amp;" / 6"</f>
        <v/>
      </c>
      <c r="G22" s="14">
        <f>COUNTIF(J22:O22,"Done")/6</f>
        <v/>
      </c>
      <c r="J22" s="20" t="inlineStr">
        <is>
          <t>Not started</t>
        </is>
      </c>
      <c r="K22" s="20" t="inlineStr">
        <is>
          <t>Not started</t>
        </is>
      </c>
      <c r="L22" s="20" t="inlineStr">
        <is>
          <t>Not started</t>
        </is>
      </c>
      <c r="M22" s="20" t="inlineStr">
        <is>
          <t>Not started</t>
        </is>
      </c>
      <c r="N22" s="20" t="inlineStr">
        <is>
          <t>Not started</t>
        </is>
      </c>
      <c r="O22" s="20" t="inlineStr">
        <is>
          <t>Not started</t>
        </is>
      </c>
    </row>
    <row r="23">
      <c r="A23" s="13" t="n">
        <v>15</v>
      </c>
      <c r="B23" s="34" t="inlineStr">
        <is>
          <t>Leak-free pipelines and time-series CV (Tasks 5–6)</t>
        </is>
      </c>
      <c r="C23" s="34" t="inlineStr">
        <is>
          <t>TimeSeriesSplit</t>
        </is>
      </c>
      <c r="D23" s="35" t="inlineStr">
        <is>
          <t>scikit-learn: Time series CV</t>
        </is>
      </c>
      <c r="E23" s="13" t="n">
        <v>0.33</v>
      </c>
      <c r="F23" s="13">
        <f>COUNTIF(J23:O23,"Done")&amp;" / 6"</f>
        <v/>
      </c>
      <c r="G23" s="14">
        <f>COUNTIF(J23:O23,"Done")/6</f>
        <v/>
      </c>
      <c r="J23" s="20" t="inlineStr">
        <is>
          <t>Not started</t>
        </is>
      </c>
      <c r="K23" s="20" t="inlineStr">
        <is>
          <t>Not started</t>
        </is>
      </c>
      <c r="L23" s="20" t="inlineStr">
        <is>
          <t>Not started</t>
        </is>
      </c>
      <c r="M23" s="20" t="inlineStr">
        <is>
          <t>Not started</t>
        </is>
      </c>
      <c r="N23" s="20" t="inlineStr">
        <is>
          <t>Not started</t>
        </is>
      </c>
      <c r="O23" s="20" t="inlineStr">
        <is>
          <t>Not started</t>
        </is>
      </c>
    </row>
    <row r="24">
      <c r="A24" s="13" t="n">
        <v>16</v>
      </c>
      <c r="B24" s="34" t="inlineStr">
        <is>
          <t>Leak-free pipelines and time-series CV (Tasks 5–6)</t>
        </is>
      </c>
      <c r="C24" s="34" t="inlineStr">
        <is>
          <t>HistGradientBoosting</t>
        </is>
      </c>
      <c r="D24" s="35" t="inlineStr">
        <is>
          <t>scikit-learn: Gradient boosting</t>
        </is>
      </c>
      <c r="E24" s="13" t="n">
        <v>0.5</v>
      </c>
      <c r="F24" s="13">
        <f>COUNTIF(J24:O24,"Done")&amp;" / 6"</f>
        <v/>
      </c>
      <c r="G24" s="14">
        <f>COUNTIF(J24:O24,"Done")/6</f>
        <v/>
      </c>
      <c r="J24" s="20" t="inlineStr">
        <is>
          <t>Not started</t>
        </is>
      </c>
      <c r="K24" s="20" t="inlineStr">
        <is>
          <t>Not started</t>
        </is>
      </c>
      <c r="L24" s="20" t="inlineStr">
        <is>
          <t>Not started</t>
        </is>
      </c>
      <c r="M24" s="20" t="inlineStr">
        <is>
          <t>Not started</t>
        </is>
      </c>
      <c r="N24" s="20" t="inlineStr">
        <is>
          <t>Not started</t>
        </is>
      </c>
      <c r="O24" s="20" t="inlineStr">
        <is>
          <t>Not started</t>
        </is>
      </c>
    </row>
    <row r="25">
      <c r="A25" s="13" t="n">
        <v>17</v>
      </c>
      <c r="B25" s="34" t="inlineStr">
        <is>
          <t>Leak-free pipelines and time-series CV (Tasks 5–6)</t>
        </is>
      </c>
      <c r="C25" s="34" t="inlineStr">
        <is>
          <t>Pipelines, CV, leakage (course)</t>
        </is>
      </c>
      <c r="D25" s="35" t="inlineStr">
        <is>
          <t>Kaggle Learn: Intermediate ML</t>
        </is>
      </c>
      <c r="E25" s="13" t="n">
        <v>4</v>
      </c>
      <c r="F25" s="13">
        <f>COUNTIF(J25:O25,"Done")&amp;" / 6"</f>
        <v/>
      </c>
      <c r="G25" s="14">
        <f>COUNTIF(J25:O25,"Done")/6</f>
        <v/>
      </c>
      <c r="J25" s="20" t="inlineStr">
        <is>
          <t>Not started</t>
        </is>
      </c>
      <c r="K25" s="20" t="inlineStr">
        <is>
          <t>Not started</t>
        </is>
      </c>
      <c r="L25" s="20" t="inlineStr">
        <is>
          <t>Not started</t>
        </is>
      </c>
      <c r="M25" s="20" t="inlineStr">
        <is>
          <t>Not started</t>
        </is>
      </c>
      <c r="N25" s="20" t="inlineStr">
        <is>
          <t>Not started</t>
        </is>
      </c>
      <c r="O25" s="20" t="inlineStr">
        <is>
          <t>Not started</t>
        </is>
      </c>
    </row>
    <row r="26">
      <c r="A26" s="13" t="n">
        <v>18</v>
      </c>
      <c r="B26" s="34" t="inlineStr">
        <is>
          <t>Leak-free pipelines and time-series CV (Tasks 5–6)</t>
        </is>
      </c>
      <c r="C26" s="34" t="inlineStr">
        <is>
          <t>RMSE / MAE / R²</t>
        </is>
      </c>
      <c r="D26" s="35" t="inlineStr">
        <is>
          <t>scikit-learn: Regression metrics</t>
        </is>
      </c>
      <c r="E26" s="13" t="n">
        <v>0.33</v>
      </c>
      <c r="F26" s="13">
        <f>COUNTIF(J26:O26,"Done")&amp;" / 6"</f>
        <v/>
      </c>
      <c r="G26" s="14">
        <f>COUNTIF(J26:O26,"Done")/6</f>
        <v/>
      </c>
      <c r="J26" s="20" t="inlineStr">
        <is>
          <t>Not started</t>
        </is>
      </c>
      <c r="K26" s="20" t="inlineStr">
        <is>
          <t>Not started</t>
        </is>
      </c>
      <c r="L26" s="20" t="inlineStr">
        <is>
          <t>Not started</t>
        </is>
      </c>
      <c r="M26" s="20" t="inlineStr">
        <is>
          <t>Not started</t>
        </is>
      </c>
      <c r="N26" s="20" t="inlineStr">
        <is>
          <t>Not started</t>
        </is>
      </c>
      <c r="O26" s="20" t="inlineStr">
        <is>
          <t>Not started</t>
        </is>
      </c>
    </row>
    <row r="27">
      <c r="A27" s="13" t="n">
        <v>19</v>
      </c>
      <c r="B27" s="34" t="inlineStr">
        <is>
          <t>Leak-free pipelines and time-series CV (Tasks 5–6)</t>
        </is>
      </c>
      <c r="C27" s="34" t="inlineStr">
        <is>
          <t>Time-series thinking</t>
        </is>
      </c>
      <c r="D27" s="35" t="inlineStr">
        <is>
          <t>Forecasting: Principles and Practice (3rd ed.)</t>
        </is>
      </c>
      <c r="E27" s="13" t="n"/>
      <c r="F27" s="13">
        <f>COUNTIF(J27:O27,"Done")&amp;" / 6"</f>
        <v/>
      </c>
      <c r="G27" s="14">
        <f>COUNTIF(J27:O27,"Done")/6</f>
        <v/>
      </c>
      <c r="J27" s="20" t="inlineStr">
        <is>
          <t>Not started</t>
        </is>
      </c>
      <c r="K27" s="20" t="inlineStr">
        <is>
          <t>Not started</t>
        </is>
      </c>
      <c r="L27" s="20" t="inlineStr">
        <is>
          <t>Not started</t>
        </is>
      </c>
      <c r="M27" s="20" t="inlineStr">
        <is>
          <t>Not started</t>
        </is>
      </c>
      <c r="N27" s="20" t="inlineStr">
        <is>
          <t>Not started</t>
        </is>
      </c>
      <c r="O27" s="20" t="inlineStr">
        <is>
          <t>Not started</t>
        </is>
      </c>
    </row>
    <row r="28">
      <c r="A28" s="13" t="n">
        <v>20</v>
      </c>
      <c r="B28" s="34" t="inlineStr">
        <is>
          <t>HPC / parallel computing (bonus)</t>
        </is>
      </c>
      <c r="C28" s="34" t="inlineStr">
        <is>
          <t>joblib Parallel</t>
        </is>
      </c>
      <c r="D28" s="35" t="inlineStr">
        <is>
          <t>joblib: Embarrassingly parallel for loops</t>
        </is>
      </c>
      <c r="E28" s="13" t="n">
        <v>0.5</v>
      </c>
      <c r="F28" s="13">
        <f>COUNTIF(J28:O28,"Done")&amp;" / 6"</f>
        <v/>
      </c>
      <c r="G28" s="14">
        <f>COUNTIF(J28:O28,"Done")/6</f>
        <v/>
      </c>
      <c r="J28" s="20" t="inlineStr">
        <is>
          <t>Not started</t>
        </is>
      </c>
      <c r="K28" s="20" t="inlineStr">
        <is>
          <t>Not started</t>
        </is>
      </c>
      <c r="L28" s="20" t="inlineStr">
        <is>
          <t>Not started</t>
        </is>
      </c>
      <c r="M28" s="20" t="inlineStr">
        <is>
          <t>Not started</t>
        </is>
      </c>
      <c r="N28" s="20" t="inlineStr">
        <is>
          <t>Not started</t>
        </is>
      </c>
      <c r="O28" s="20" t="inlineStr">
        <is>
          <t>Not started</t>
        </is>
      </c>
    </row>
    <row r="29">
      <c r="A29" s="13" t="n">
        <v>21</v>
      </c>
      <c r="B29" s="34" t="inlineStr">
        <is>
          <t>HPC / parallel computing (bonus)</t>
        </is>
      </c>
      <c r="C29" s="34" t="inlineStr">
        <is>
          <t>Dask</t>
        </is>
      </c>
      <c r="D29" s="35" t="inlineStr">
        <is>
          <t>Dask Tutorial</t>
        </is>
      </c>
      <c r="E29" s="13" t="n">
        <v>2</v>
      </c>
      <c r="F29" s="13">
        <f>COUNTIF(J29:O29,"Done")&amp;" / 6"</f>
        <v/>
      </c>
      <c r="G29" s="14">
        <f>COUNTIF(J29:O29,"Done")/6</f>
        <v/>
      </c>
      <c r="J29" s="20" t="inlineStr">
        <is>
          <t>Not started</t>
        </is>
      </c>
      <c r="K29" s="20" t="inlineStr">
        <is>
          <t>Not started</t>
        </is>
      </c>
      <c r="L29" s="20" t="inlineStr">
        <is>
          <t>Not started</t>
        </is>
      </c>
      <c r="M29" s="20" t="inlineStr">
        <is>
          <t>Not started</t>
        </is>
      </c>
      <c r="N29" s="20" t="inlineStr">
        <is>
          <t>Not started</t>
        </is>
      </c>
      <c r="O29" s="20" t="inlineStr">
        <is>
          <t>Not started</t>
        </is>
      </c>
    </row>
    <row r="30">
      <c r="A30" s="13" t="n">
        <v>22</v>
      </c>
      <c r="B30" s="34" t="inlineStr">
        <is>
          <t>HPC / parallel computing (bonus)</t>
        </is>
      </c>
      <c r="C30" s="34" t="inlineStr">
        <is>
          <t>Speed-up, efficiency, Amdahl's law</t>
        </is>
      </c>
      <c r="D30" s="35" t="inlineStr">
        <is>
          <t>Wikipedia: Amdahl's law</t>
        </is>
      </c>
      <c r="E30" s="13" t="n">
        <v>0.33</v>
      </c>
      <c r="F30" s="13">
        <f>COUNTIF(J30:O30,"Done")&amp;" / 6"</f>
        <v/>
      </c>
      <c r="G30" s="14">
        <f>COUNTIF(J30:O30,"Done")/6</f>
        <v/>
      </c>
      <c r="J30" s="20" t="inlineStr">
        <is>
          <t>Not started</t>
        </is>
      </c>
      <c r="K30" s="20" t="inlineStr">
        <is>
          <t>Not started</t>
        </is>
      </c>
      <c r="L30" s="20" t="inlineStr">
        <is>
          <t>Not started</t>
        </is>
      </c>
      <c r="M30" s="20" t="inlineStr">
        <is>
          <t>Not started</t>
        </is>
      </c>
      <c r="N30" s="20" t="inlineStr">
        <is>
          <t>Not started</t>
        </is>
      </c>
      <c r="O30" s="20" t="inlineStr">
        <is>
          <t>Not started</t>
        </is>
      </c>
    </row>
    <row r="31">
      <c r="A31" s="13" t="n">
        <v>23</v>
      </c>
      <c r="B31" s="34" t="inlineStr">
        <is>
          <t>Teamwork tooling</t>
        </is>
      </c>
      <c r="C31" s="34" t="inlineStr">
        <is>
          <t>Git</t>
        </is>
      </c>
      <c r="D31" s="35" t="inlineStr">
        <is>
          <t>Pro Git book, ch. 1–3</t>
        </is>
      </c>
      <c r="E31" s="13" t="n">
        <v>2</v>
      </c>
      <c r="F31" s="13">
        <f>COUNTIF(J31:O31,"Done")&amp;" / 6"</f>
        <v/>
      </c>
      <c r="G31" s="14">
        <f>COUNTIF(J31:O31,"Done")/6</f>
        <v/>
      </c>
      <c r="J31" s="20" t="inlineStr">
        <is>
          <t>Not started</t>
        </is>
      </c>
      <c r="K31" s="20" t="inlineStr">
        <is>
          <t>Not started</t>
        </is>
      </c>
      <c r="L31" s="20" t="inlineStr">
        <is>
          <t>Not started</t>
        </is>
      </c>
      <c r="M31" s="20" t="inlineStr">
        <is>
          <t>Not started</t>
        </is>
      </c>
      <c r="N31" s="20" t="inlineStr">
        <is>
          <t>Not started</t>
        </is>
      </c>
      <c r="O31" s="20" t="inlineStr">
        <is>
          <t>Not started</t>
        </is>
      </c>
    </row>
    <row r="32">
      <c r="A32" s="13" t="n">
        <v>24</v>
      </c>
      <c r="B32" s="34" t="inlineStr">
        <is>
          <t>Teamwork tooling</t>
        </is>
      </c>
      <c r="C32" s="34" t="inlineStr">
        <is>
          <t>GitHub Projects</t>
        </is>
      </c>
      <c r="D32" s="35" t="inlineStr">
        <is>
          <t>GitHub Docs: About Projects</t>
        </is>
      </c>
      <c r="E32" s="13" t="n">
        <v>0.33</v>
      </c>
      <c r="F32" s="13">
        <f>COUNTIF(J32:O32,"Done")&amp;" / 6"</f>
        <v/>
      </c>
      <c r="G32" s="14">
        <f>COUNTIF(J32:O32,"Done")/6</f>
        <v/>
      </c>
      <c r="J32" s="20" t="inlineStr">
        <is>
          <t>Not started</t>
        </is>
      </c>
      <c r="K32" s="20" t="inlineStr">
        <is>
          <t>Not started</t>
        </is>
      </c>
      <c r="L32" s="20" t="inlineStr">
        <is>
          <t>Not started</t>
        </is>
      </c>
      <c r="M32" s="20" t="inlineStr">
        <is>
          <t>Not started</t>
        </is>
      </c>
      <c r="N32" s="20" t="inlineStr">
        <is>
          <t>Not started</t>
        </is>
      </c>
      <c r="O32" s="20" t="inlineStr">
        <is>
          <t>Not started</t>
        </is>
      </c>
    </row>
    <row r="33">
      <c r="A33" s="13" t="n">
        <v>25</v>
      </c>
      <c r="B33" s="34" t="inlineStr">
        <is>
          <t>Teamwork tooling</t>
        </is>
      </c>
      <c r="C33" s="34" t="inlineStr">
        <is>
          <t>Notebook diff and merge</t>
        </is>
      </c>
      <c r="D33" s="35" t="inlineStr">
        <is>
          <t>nbdime</t>
        </is>
      </c>
      <c r="E33" s="13" t="n">
        <v>0.25</v>
      </c>
      <c r="F33" s="13">
        <f>COUNTIF(J33:O33,"Done")&amp;" / 6"</f>
        <v/>
      </c>
      <c r="G33" s="14">
        <f>COUNTIF(J33:O33,"Done")/6</f>
        <v/>
      </c>
      <c r="J33" s="20" t="inlineStr">
        <is>
          <t>Not started</t>
        </is>
      </c>
      <c r="K33" s="20" t="inlineStr">
        <is>
          <t>Not started</t>
        </is>
      </c>
      <c r="L33" s="20" t="inlineStr">
        <is>
          <t>Not started</t>
        </is>
      </c>
      <c r="M33" s="20" t="inlineStr">
        <is>
          <t>Not started</t>
        </is>
      </c>
      <c r="N33" s="20" t="inlineStr">
        <is>
          <t>Not started</t>
        </is>
      </c>
      <c r="O33" s="20" t="inlineStr">
        <is>
          <t>Not started</t>
        </is>
      </c>
    </row>
    <row r="34">
      <c r="A34" s="13" t="n">
        <v>26</v>
      </c>
      <c r="B34" s="34" t="inlineStr">
        <is>
          <t>Teamwork tooling</t>
        </is>
      </c>
      <c r="C34" s="34" t="inlineStr">
        <is>
          <t>Scrum</t>
        </is>
      </c>
      <c r="D34" s="35" t="inlineStr">
        <is>
          <t>Atlassian: Scrum</t>
        </is>
      </c>
      <c r="E34" s="13" t="n">
        <v>0.25</v>
      </c>
      <c r="F34" s="13">
        <f>COUNTIF(J34:O34,"Done")&amp;" / 6"</f>
        <v/>
      </c>
      <c r="G34" s="14">
        <f>COUNTIF(J34:O34,"Done")/6</f>
        <v/>
      </c>
      <c r="J34" s="20" t="inlineStr">
        <is>
          <t>Not started</t>
        </is>
      </c>
      <c r="K34" s="20" t="inlineStr">
        <is>
          <t>Not started</t>
        </is>
      </c>
      <c r="L34" s="20" t="inlineStr">
        <is>
          <t>Not started</t>
        </is>
      </c>
      <c r="M34" s="20" t="inlineStr">
        <is>
          <t>Not started</t>
        </is>
      </c>
      <c r="N34" s="20" t="inlineStr">
        <is>
          <t>Not started</t>
        </is>
      </c>
      <c r="O34" s="20" t="inlineStr">
        <is>
          <t>Not started</t>
        </is>
      </c>
    </row>
  </sheetData>
  <conditionalFormatting sqref="J6:O6">
    <cfRule type="dataBar" priority="1">
      <dataBar>
        <cfvo type="num" val="0"/>
        <cfvo type="num" val="1"/>
        <color rgb="002E90FA"/>
      </dataBar>
    </cfRule>
  </conditionalFormatting>
  <conditionalFormatting sqref="J9:O34">
    <cfRule type="cellIs" priority="2" operator="equal" dxfId="1">
      <formula>"Done"</formula>
    </cfRule>
    <cfRule type="cellIs" priority="3" operator="equal" dxfId="2">
      <formula>"In progress"</formula>
    </cfRule>
  </conditionalFormatting>
  <conditionalFormatting sqref="G9:G34">
    <cfRule type="dataBar" priority="4">
      <dataBar>
        <cfvo type="num" val="0"/>
        <cfvo type="num" val="1"/>
        <color rgb="0012B76A"/>
      </dataBar>
    </cfRule>
  </conditionalFormatting>
  <dataValidations count="1">
    <dataValidation sqref="J9:O34" showDropDown="0" showInputMessage="0" showErrorMessage="1" allowBlank="1" errorTitle="Pick from the list" error="Choose a value from the drop-down." type="list">
      <formula1>Lists!$C$5:$C$14</formula1>
    </dataValidation>
  </dataValidations>
  <hyperlinks>
    <hyperlink xmlns:r="http://schemas.openxmlformats.org/officeDocument/2006/relationships" ref="D9" r:id="rId1"/>
    <hyperlink xmlns:r="http://schemas.openxmlformats.org/officeDocument/2006/relationships" ref="D10" r:id="rId2"/>
    <hyperlink xmlns:r="http://schemas.openxmlformats.org/officeDocument/2006/relationships" ref="D11" r:id="rId3"/>
    <hyperlink xmlns:r="http://schemas.openxmlformats.org/officeDocument/2006/relationships" ref="D12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2" r:id="rId14"/>
    <hyperlink xmlns:r="http://schemas.openxmlformats.org/officeDocument/2006/relationships" ref="D23" r:id="rId15"/>
    <hyperlink xmlns:r="http://schemas.openxmlformats.org/officeDocument/2006/relationships" ref="D24" r:id="rId16"/>
    <hyperlink xmlns:r="http://schemas.openxmlformats.org/officeDocument/2006/relationships" ref="D25" r:id="rId17"/>
    <hyperlink xmlns:r="http://schemas.openxmlformats.org/officeDocument/2006/relationships" ref="D26" r:id="rId18"/>
    <hyperlink xmlns:r="http://schemas.openxmlformats.org/officeDocument/2006/relationships" ref="D27" r:id="rId19"/>
    <hyperlink xmlns:r="http://schemas.openxmlformats.org/officeDocument/2006/relationships" ref="D28" r:id="rId20"/>
    <hyperlink xmlns:r="http://schemas.openxmlformats.org/officeDocument/2006/relationships" ref="D29" r:id="rId21"/>
    <hyperlink xmlns:r="http://schemas.openxmlformats.org/officeDocument/2006/relationships" ref="D30" r:id="rId22"/>
    <hyperlink xmlns:r="http://schemas.openxmlformats.org/officeDocument/2006/relationships" ref="D31" r:id="rId23"/>
    <hyperlink xmlns:r="http://schemas.openxmlformats.org/officeDocument/2006/relationships" ref="D32" r:id="rId24"/>
    <hyperlink xmlns:r="http://schemas.openxmlformats.org/officeDocument/2006/relationships" ref="D33" r:id="rId25"/>
    <hyperlink xmlns:r="http://schemas.openxmlformats.org/officeDocument/2006/relationships" ref="D34" r:id="rId26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8A2B3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</cols>
  <sheetData>
    <row r="1" ht="28" customHeight="1">
      <c r="A1" s="1" t="inlineStr">
        <is>
          <t>Lists</t>
        </is>
      </c>
    </row>
    <row r="2">
      <c r="A2" s="2" t="inlineStr">
        <is>
          <t>Drop-down values used across the workbook. Edit here to add statuses or assignments.</t>
        </is>
      </c>
    </row>
    <row r="4" ht="30" customHeight="1">
      <c r="A4" s="12" t="inlineStr">
        <is>
          <t>Task status</t>
        </is>
      </c>
      <c r="B4" s="12" t="inlineStr">
        <is>
          <t>Priority</t>
        </is>
      </c>
      <c r="C4" s="12" t="inlineStr">
        <is>
          <t>Learning status</t>
        </is>
      </c>
      <c r="D4" s="12" t="inlineStr">
        <is>
          <t>Assignment</t>
        </is>
      </c>
    </row>
    <row r="5">
      <c r="A5" s="36" t="inlineStr">
        <is>
          <t>Not started</t>
        </is>
      </c>
      <c r="B5" s="36" t="inlineStr">
        <is>
          <t>High</t>
        </is>
      </c>
      <c r="C5" s="36" t="inlineStr">
        <is>
          <t>Not started</t>
        </is>
      </c>
      <c r="D5" s="36" t="inlineStr">
        <is>
          <t>Week 1</t>
        </is>
      </c>
    </row>
    <row r="6">
      <c r="A6" s="36" t="inlineStr">
        <is>
          <t>In progress</t>
        </is>
      </c>
      <c r="B6" s="36" t="inlineStr">
        <is>
          <t>Medium</t>
        </is>
      </c>
      <c r="C6" s="36" t="inlineStr">
        <is>
          <t>In progress</t>
        </is>
      </c>
      <c r="D6" s="36" t="inlineStr">
        <is>
          <t>Week 2</t>
        </is>
      </c>
    </row>
    <row r="7">
      <c r="A7" s="36" t="inlineStr">
        <is>
          <t>In review</t>
        </is>
      </c>
      <c r="B7" s="36" t="inlineStr">
        <is>
          <t>Low</t>
        </is>
      </c>
      <c r="C7" s="36" t="inlineStr">
        <is>
          <t>Done</t>
        </is>
      </c>
      <c r="D7" s="36" t="inlineStr">
        <is>
          <t>Week 3</t>
        </is>
      </c>
    </row>
    <row r="8">
      <c r="A8" s="36" t="inlineStr">
        <is>
          <t>Blocked</t>
        </is>
      </c>
      <c r="B8" s="37" t="n"/>
      <c r="C8" s="37" t="n"/>
      <c r="D8" s="36" t="inlineStr">
        <is>
          <t>Week 4</t>
        </is>
      </c>
    </row>
    <row r="9">
      <c r="A9" s="36" t="inlineStr">
        <is>
          <t>Done</t>
        </is>
      </c>
      <c r="B9" s="37" t="n"/>
      <c r="C9" s="37" t="n"/>
      <c r="D9" s="36" t="inlineStr">
        <is>
          <t>Week 5</t>
        </is>
      </c>
    </row>
    <row r="10">
      <c r="A10" s="37" t="n"/>
      <c r="B10" s="37" t="n"/>
      <c r="C10" s="37" t="n"/>
      <c r="D10" s="36" t="inlineStr">
        <is>
          <t>Setup</t>
        </is>
      </c>
    </row>
    <row r="11">
      <c r="A11" s="37" t="n"/>
      <c r="B11" s="37" t="n"/>
      <c r="C11" s="37" t="n"/>
      <c r="D11" s="37" t="n"/>
    </row>
    <row r="12">
      <c r="A12" s="37" t="n"/>
      <c r="B12" s="37" t="n"/>
      <c r="C12" s="37" t="n"/>
      <c r="D12" s="37" t="n"/>
    </row>
    <row r="13">
      <c r="A13" s="37" t="n"/>
      <c r="B13" s="37" t="n"/>
      <c r="C13" s="37" t="n"/>
      <c r="D13" s="37" t="n"/>
    </row>
    <row r="14">
      <c r="A14" s="37" t="n"/>
      <c r="B14" s="37" t="n"/>
      <c r="C14" s="37" t="n"/>
      <c r="D14" s="37" t="n"/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667085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6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 ht="28" customHeight="1">
      <c r="A1" s="1" t="inlineStr">
        <is>
          <t>Team LineShine · Team ID 1065</t>
        </is>
      </c>
    </row>
    <row r="2">
      <c r="A2" s="2" t="inlineStr">
        <is>
          <t>Member list feeds the drop-downs. Add GitHub usernames and contact details in the blue cells.</t>
        </is>
      </c>
    </row>
    <row r="4" ht="30" customHeight="1">
      <c r="A4" s="12" t="inlineStr">
        <is>
          <t>Member</t>
        </is>
      </c>
      <c r="B4" s="12" t="inlineStr">
        <is>
          <t>Role</t>
        </is>
      </c>
      <c r="C4" s="12" t="inlineStr">
        <is>
          <t>GitHub username</t>
        </is>
      </c>
      <c r="D4" s="12" t="inlineStr">
        <is>
          <t>Email / phone</t>
        </is>
      </c>
      <c r="E4" s="12" t="inlineStr">
        <is>
          <t>Tasks open</t>
        </is>
      </c>
      <c r="F4" s="12" t="inlineStr">
        <is>
          <t>Tasks done</t>
        </is>
      </c>
      <c r="G4" s="12" t="inlineStr">
        <is>
          <t>Check-ins logged</t>
        </is>
      </c>
      <c r="H4" s="12" t="inlineStr">
        <is>
          <t>Learning done %</t>
        </is>
      </c>
    </row>
    <row r="5">
      <c r="A5" s="38" t="inlineStr">
        <is>
          <t>Abdallah Ismail</t>
        </is>
      </c>
      <c r="B5" s="39" t="inlineStr">
        <is>
          <t>Team leader</t>
        </is>
      </c>
      <c r="C5" s="40" t="n"/>
      <c r="D5" s="40" t="n"/>
      <c r="E5" s="13">
        <f>COUNTIFS(Tasks!$E:$E,$A5,Tasks!$F:$F,"&lt;&gt;Done")</f>
        <v/>
      </c>
      <c r="F5" s="13">
        <f>COUNTIFS(Tasks!$E:$E,$A5,Tasks!$F:$F,"Done")</f>
        <v/>
      </c>
      <c r="G5" s="13">
        <f>COUNTIF('Daily Check-ins'!$B:$B,$A5)</f>
        <v/>
      </c>
      <c r="H5" s="14">
        <f>INDEX(Learning!$J$6:$O$6,MATCH($A5,Learning!$J$4:$O$4,0))</f>
        <v/>
      </c>
    </row>
    <row r="6">
      <c r="A6" s="38" t="inlineStr">
        <is>
          <t>Omar Seifelnasr</t>
        </is>
      </c>
      <c r="B6" s="39" t="inlineStr">
        <is>
          <t>Member</t>
        </is>
      </c>
      <c r="C6" s="40" t="n"/>
      <c r="D6" s="40" t="n"/>
      <c r="E6" s="13">
        <f>COUNTIFS(Tasks!$E:$E,$A6,Tasks!$F:$F,"&lt;&gt;Done")</f>
        <v/>
      </c>
      <c r="F6" s="13">
        <f>COUNTIFS(Tasks!$E:$E,$A6,Tasks!$F:$F,"Done")</f>
        <v/>
      </c>
      <c r="G6" s="13">
        <f>COUNTIF('Daily Check-ins'!$B:$B,$A6)</f>
        <v/>
      </c>
      <c r="H6" s="14">
        <f>INDEX(Learning!$J$6:$O$6,MATCH($A6,Learning!$J$4:$O$4,0))</f>
        <v/>
      </c>
    </row>
    <row r="7">
      <c r="A7" s="38" t="inlineStr">
        <is>
          <t>Abdulrahman Omran</t>
        </is>
      </c>
      <c r="B7" s="39" t="inlineStr">
        <is>
          <t>Member</t>
        </is>
      </c>
      <c r="C7" s="40" t="n"/>
      <c r="D7" s="40" t="n"/>
      <c r="E7" s="13">
        <f>COUNTIFS(Tasks!$E:$E,$A7,Tasks!$F:$F,"&lt;&gt;Done")</f>
        <v/>
      </c>
      <c r="F7" s="13">
        <f>COUNTIFS(Tasks!$E:$E,$A7,Tasks!$F:$F,"Done")</f>
        <v/>
      </c>
      <c r="G7" s="13">
        <f>COUNTIF('Daily Check-ins'!$B:$B,$A7)</f>
        <v/>
      </c>
      <c r="H7" s="14">
        <f>INDEX(Learning!$J$6:$O$6,MATCH($A7,Learning!$J$4:$O$4,0))</f>
        <v/>
      </c>
    </row>
    <row r="8">
      <c r="A8" s="38" t="inlineStr">
        <is>
          <t>Anas Elgalad</t>
        </is>
      </c>
      <c r="B8" s="39" t="inlineStr">
        <is>
          <t>Member</t>
        </is>
      </c>
      <c r="C8" s="40" t="n"/>
      <c r="D8" s="40" t="n"/>
      <c r="E8" s="13">
        <f>COUNTIFS(Tasks!$E:$E,$A8,Tasks!$F:$F,"&lt;&gt;Done")</f>
        <v/>
      </c>
      <c r="F8" s="13">
        <f>COUNTIFS(Tasks!$E:$E,$A8,Tasks!$F:$F,"Done")</f>
        <v/>
      </c>
      <c r="G8" s="13">
        <f>COUNTIF('Daily Check-ins'!$B:$B,$A8)</f>
        <v/>
      </c>
      <c r="H8" s="14">
        <f>INDEX(Learning!$J$6:$O$6,MATCH($A8,Learning!$J$4:$O$4,0))</f>
        <v/>
      </c>
    </row>
    <row r="9">
      <c r="A9" s="38" t="inlineStr">
        <is>
          <t>Mohamed Abd Elaal</t>
        </is>
      </c>
      <c r="B9" s="39" t="inlineStr">
        <is>
          <t>Member</t>
        </is>
      </c>
      <c r="C9" s="40" t="n"/>
      <c r="D9" s="40" t="n"/>
      <c r="E9" s="13">
        <f>COUNTIFS(Tasks!$E:$E,$A9,Tasks!$F:$F,"&lt;&gt;Done")</f>
        <v/>
      </c>
      <c r="F9" s="13">
        <f>COUNTIFS(Tasks!$E:$E,$A9,Tasks!$F:$F,"Done")</f>
        <v/>
      </c>
      <c r="G9" s="13">
        <f>COUNTIF('Daily Check-ins'!$B:$B,$A9)</f>
        <v/>
      </c>
      <c r="H9" s="14">
        <f>INDEX(Learning!$J$6:$O$6,MATCH($A9,Learning!$J$4:$O$4,0))</f>
        <v/>
      </c>
    </row>
    <row r="10">
      <c r="A10" s="38" t="inlineStr">
        <is>
          <t>Mohamed Salah</t>
        </is>
      </c>
      <c r="B10" s="39" t="inlineStr">
        <is>
          <t>Member</t>
        </is>
      </c>
      <c r="C10" s="40" t="n"/>
      <c r="D10" s="40" t="n"/>
      <c r="E10" s="13">
        <f>COUNTIFS(Tasks!$E:$E,$A10,Tasks!$F:$F,"&lt;&gt;Done")</f>
        <v/>
      </c>
      <c r="F10" s="13">
        <f>COUNTIFS(Tasks!$E:$E,$A10,Tasks!$F:$F,"Done")</f>
        <v/>
      </c>
      <c r="G10" s="13">
        <f>COUNTIF('Daily Check-ins'!$B:$B,$A10)</f>
        <v/>
      </c>
      <c r="H10" s="14">
        <f>INDEX(Learning!$J$6:$O$6,MATCH($A10,Learning!$J$4:$O$4,0))</f>
        <v/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2026-10-09T00:49:05Z</dcterms:created>
  <dcterms:modified xsi:type="dcterms:W3CDTF">2026-10-09T00:49:05Z</dcterms:modified>
</cp:coreProperties>
</file>