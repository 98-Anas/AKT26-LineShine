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Settings" sheetId="3" state="visible" r:id="rId3"/>
    <sheet name="Tasks" sheetId="4" state="visible" r:id="rId4"/>
    <sheet name="Milestones" sheetId="5" state="visible" r:id="rId5"/>
    <sheet name="Timeline" sheetId="6" state="visible" r:id="rId6"/>
    <sheet name="Check-ins" sheetId="7" state="visible" r:id="rId7"/>
    <sheet name="Learning" sheetId="8" state="visible" r:id="rId8"/>
    <sheet name="Risks &amp; Issues" sheetId="9" state="visible" r:id="rId9"/>
  </sheets>
  <definedNames>
    <definedName name="Members">Settings!$A$16:$A$25</definedName>
    <definedName name="Statuses">Settings!$F$7:$F$16</definedName>
    <definedName name="Priorities">Settings!$G$7:$G$16</definedName>
    <definedName name="ProgressVals">Settings!$H$7:$H$16</definedName>
    <definedName name="LearnStatus">Settings!$I$7:$I$16</definedName>
    <definedName name="RiskStatus">Settings!$J$7:$J$16</definedName>
    <definedName name="Moods">Settings!$K$7:$K$16</definedName>
    <definedName name="ProjStart">Settings!$B$8</definedName>
    <definedName name="ProjEnd">Settings!$B$9</definedName>
    <definedName name="Milestones">Milestones!$B$6:$B$35</definedName>
    <definedName name="_xlnm._FilterDatabase" localSheetId="3" hidden="1">'Tasks'!$A$5:$O$305</definedName>
    <definedName name="_xlnm._FilterDatabase" localSheetId="6" hidden="1">'Check-ins'!$A$5:$H$505</definedName>
    <definedName name="_xlnm._FilterDatabase" localSheetId="8" hidden="1">'Risks &amp; Issues'!$A$5:$K$105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ddd, mmm d yyyy"/>
    <numFmt numFmtId="166" formatCode="yyyy-mm-dd h:mm:ss"/>
    <numFmt numFmtId="167" formatCode="ddd, mmm d yyyy, h:mm AM/PM"/>
    <numFmt numFmtId="168" formatCode="0.0"/>
    <numFmt numFmtId="169" formatCode="d"/>
    <numFmt numFmtId="170" formatCode="mmm d"/>
    <numFmt numFmtId="171" formatCode="ddd mmm d, h:mm AM/PM"/>
  </numFmts>
  <fonts count="36">
    <font>
      <name val="Calibri"/>
      <family val="2"/>
      <color theme="1"/>
      <sz val="11"/>
      <scheme val="minor"/>
    </font>
    <font>
      <name val="Arial"/>
      <b val="1"/>
      <color rgb="000A2A5C"/>
      <sz val="18"/>
    </font>
    <font>
      <name val="Arial"/>
      <i val="1"/>
      <color rgb="00667085"/>
      <sz val="10"/>
    </font>
    <font>
      <name val="Arial"/>
      <color rgb="001155CC"/>
      <sz val="9"/>
      <u val="single"/>
    </font>
    <font>
      <name val="Arial"/>
      <b val="1"/>
      <color rgb="000A2A5C"/>
      <sz val="12"/>
    </font>
    <font>
      <name val="Arial"/>
      <b val="1"/>
      <color rgb="001D2939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i val="1"/>
      <color rgb="00D92D20"/>
      <sz val="8"/>
    </font>
    <font>
      <name val="Arial"/>
      <color rgb="001D2939"/>
      <sz val="10"/>
    </font>
    <font>
      <name val="Arial"/>
      <i val="1"/>
      <color rgb="007F56D9"/>
      <sz val="10"/>
    </font>
    <font>
      <name val="Arial"/>
      <i val="1"/>
      <color rgb="00667085"/>
      <sz val="8"/>
    </font>
    <font>
      <name val="Arial"/>
      <b val="1"/>
      <color rgb="00FFFFFF"/>
      <sz val="7"/>
    </font>
    <font>
      <name val="Arial"/>
      <b val="1"/>
      <color rgb="000A2A5C"/>
      <sz val="8"/>
    </font>
    <font>
      <name val="Arial"/>
      <color rgb="001D2939"/>
      <sz val="9"/>
    </font>
    <font>
      <name val="Arial"/>
      <b val="1"/>
      <color rgb="001D2939"/>
      <sz val="9"/>
    </font>
    <font>
      <name val="Arial"/>
      <b val="1"/>
      <color rgb="001D2939"/>
      <sz val="8"/>
    </font>
    <font>
      <name val="Arial"/>
      <b val="1"/>
      <color rgb="00FFFFFF"/>
      <sz val="9"/>
    </font>
    <font>
      <name val="Arial"/>
      <b val="1"/>
      <color rgb="000A2A5C"/>
      <sz val="10"/>
    </font>
    <font>
      <name val="Arial"/>
      <color rgb="001155CC"/>
      <sz val="10"/>
      <u val="single"/>
    </font>
    <font>
      <name val="Arial"/>
      <b val="1"/>
      <color rgb="000A2A5C"/>
      <sz val="20"/>
    </font>
    <font>
      <name val="Arial"/>
      <i val="1"/>
      <color rgb="0098A2B3"/>
      <sz val="8"/>
    </font>
    <font>
      <name val="Arial"/>
      <color rgb="00475467"/>
      <sz val="9"/>
    </font>
    <font>
      <name val="Arial"/>
      <b val="1"/>
      <color rgb="00027A48"/>
      <sz val="20"/>
    </font>
    <font>
      <name val="Arial"/>
      <b val="1"/>
      <color rgb="00D92D20"/>
      <sz val="20"/>
    </font>
    <font>
      <name val="Arial"/>
      <b val="1"/>
      <color rgb="00B54708"/>
      <sz val="20"/>
    </font>
    <font>
      <name val="Arial"/>
      <b val="1"/>
      <color rgb="001D2939"/>
      <sz val="11"/>
    </font>
    <font>
      <name val="Arial"/>
      <b val="1"/>
      <color rgb="000A2A5C"/>
      <sz val="16"/>
    </font>
    <font>
      <name val="Arial"/>
      <b val="1"/>
      <color rgb="000000FF"/>
      <sz val="11"/>
    </font>
    <font>
      <name val="Arial"/>
      <i val="1"/>
      <color rgb="0098A2B3"/>
      <sz val="7"/>
    </font>
    <font>
      <name val="Arial"/>
      <b val="1"/>
      <color rgb="000A2A5C"/>
      <sz val="24"/>
    </font>
    <font>
      <name val="Arial"/>
      <b val="1"/>
      <color rgb="00D49A2A"/>
      <sz val="14"/>
    </font>
    <font>
      <name val="Arial"/>
      <b val="1"/>
      <color rgb="001155CC"/>
      <sz val="11"/>
      <u val="single"/>
    </font>
    <font>
      <name val="Arial"/>
      <b val="1"/>
      <color rgb="000000FF"/>
      <sz val="10"/>
    </font>
    <font>
      <name val="Arial"/>
      <b val="1"/>
      <color rgb="007F56D9"/>
      <sz val="10"/>
    </font>
    <font>
      <name val="Arial"/>
      <b val="1"/>
      <color rgb="00D92D20"/>
      <sz val="10"/>
    </font>
  </fonts>
  <fills count="11">
    <fill>
      <patternFill/>
    </fill>
    <fill>
      <patternFill patternType="gray125"/>
    </fill>
    <fill>
      <patternFill patternType="solid">
        <fgColor rgb="00FFF9E6"/>
      </patternFill>
    </fill>
    <fill>
      <patternFill patternType="solid">
        <fgColor rgb="000A2A5C"/>
      </patternFill>
    </fill>
    <fill>
      <patternFill patternType="solid">
        <fgColor rgb="00F2F4F7"/>
      </patternFill>
    </fill>
    <fill>
      <patternFill patternType="solid">
        <fgColor rgb="0053B1FD"/>
      </patternFill>
    </fill>
    <fill>
      <patternFill patternType="solid">
        <fgColor rgb="0032D583"/>
      </patternFill>
    </fill>
    <fill>
      <patternFill patternType="solid">
        <fgColor rgb="00F97066"/>
      </patternFill>
    </fill>
    <fill>
      <patternFill patternType="solid">
        <fgColor rgb="00FDA29B"/>
      </patternFill>
    </fill>
    <fill>
      <patternFill patternType="solid">
        <fgColor rgb="00FEDF89"/>
      </patternFill>
    </fill>
    <fill>
      <patternFill patternType="solid">
        <fgColor rgb="00EEF4FF"/>
      </patternFill>
    </fill>
  </fills>
  <borders count="7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  <border>
      <left style="hair">
        <color rgb="00EAECF0"/>
      </left>
      <bottom style="hair">
        <color rgb="00EAECF0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2" fillId="10" borderId="1" pivotButton="0" quotePrefix="0" xfId="0"/>
    <xf numFmtId="0" fontId="9" fillId="0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33" fillId="0" borderId="0" pivotButton="0" quotePrefix="0" xfId="0"/>
    <xf numFmtId="0" fontId="5" fillId="4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10" borderId="0" pivotButton="0" quotePrefix="0" xfId="0"/>
    <xf numFmtId="0" fontId="0" fillId="10" borderId="0" pivotButton="0" quotePrefix="0" xfId="0"/>
    <xf numFmtId="1" fontId="20" fillId="10" borderId="0" applyAlignment="1" pivotButton="0" quotePrefix="0" xfId="0">
      <alignment horizontal="left" vertical="center"/>
    </xf>
    <xf numFmtId="1" fontId="23" fillId="10" borderId="0" applyAlignment="1" pivotButton="0" quotePrefix="0" xfId="0">
      <alignment horizontal="left" vertical="center"/>
    </xf>
    <xf numFmtId="9" fontId="23" fillId="10" borderId="0" applyAlignment="1" pivotButton="0" quotePrefix="0" xfId="0">
      <alignment horizontal="left" vertical="center"/>
    </xf>
    <xf numFmtId="9" fontId="20" fillId="10" borderId="0" applyAlignment="1" pivotButton="0" quotePrefix="0" xfId="0">
      <alignment horizontal="left" vertical="center"/>
    </xf>
    <xf numFmtId="1" fontId="24" fillId="10" borderId="0" applyAlignment="1" pivotButton="0" quotePrefix="0" xfId="0">
      <alignment horizontal="left" vertical="center"/>
    </xf>
    <xf numFmtId="1" fontId="25" fillId="10" borderId="0" applyAlignment="1" pivotButton="0" quotePrefix="0" xfId="0">
      <alignment horizontal="left" vertical="center"/>
    </xf>
    <xf numFmtId="0" fontId="22" fillId="0" borderId="0" pivotButton="0" quotePrefix="0" xfId="0"/>
    <xf numFmtId="9" fontId="26" fillId="0" borderId="0" pivotButton="0" quotePrefix="0" xfId="0"/>
    <xf numFmtId="0" fontId="27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28" fillId="2" borderId="1" applyProtection="1" pivotButton="0" quotePrefix="0" xfId="0"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7" fillId="3" borderId="0" applyAlignment="1" pivotButton="0" quotePrefix="0" xfId="0">
      <alignment horizontal="center" vertical="center" wrapText="1"/>
    </xf>
    <xf numFmtId="1" fontId="5" fillId="0" borderId="0" applyAlignment="1" pivotButton="0" quotePrefix="0" xfId="0">
      <alignment horizontal="left" vertical="center" wrapText="1"/>
    </xf>
    <xf numFmtId="171" fontId="1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 wrapText="1"/>
    </xf>
    <xf numFmtId="168" fontId="5" fillId="0" borderId="0" applyAlignment="1" pivotButton="0" quotePrefix="0" xfId="0">
      <alignment horizontal="left" vertical="center" wrapText="1"/>
    </xf>
    <xf numFmtId="167" fontId="5" fillId="0" borderId="0" applyAlignment="1" pivotButton="0" quotePrefix="0" xfId="0">
      <alignment horizontal="left" vertical="center" wrapText="1"/>
    </xf>
    <xf numFmtId="49" fontId="5" fillId="0" borderId="0" applyAlignment="1" pivotButton="0" quotePrefix="0" xfId="0">
      <alignment horizontal="left" vertical="center" wrapText="1"/>
    </xf>
    <xf numFmtId="165" fontId="5" fillId="0" borderId="0" applyAlignment="1" pivotButton="0" quotePrefix="0" xfId="0">
      <alignment horizontal="left" vertical="center" wrapText="1"/>
    </xf>
    <xf numFmtId="9" fontId="5" fillId="0" borderId="0" applyAlignment="1" pivotButton="0" quotePrefix="0" xfId="0">
      <alignment horizontal="left" vertical="center" wrapText="1"/>
    </xf>
    <xf numFmtId="0" fontId="15" fillId="0" borderId="0" pivotButton="0" quotePrefix="0" xfId="0"/>
    <xf numFmtId="0" fontId="14" fillId="0" borderId="0" pivotButton="0" quotePrefix="0" xfId="0"/>
    <xf numFmtId="0" fontId="17" fillId="3" borderId="1" applyAlignment="1" pivotButton="0" quotePrefix="0" xfId="0">
      <alignment horizontal="center" vertical="center" wrapText="1"/>
    </xf>
    <xf numFmtId="168" fontId="14" fillId="0" borderId="1" applyAlignment="1" pivotButton="0" quotePrefix="0" xfId="0">
      <alignment horizontal="center" vertical="center" wrapText="1"/>
    </xf>
    <xf numFmtId="9" fontId="14" fillId="0" borderId="1" applyAlignment="1" pivotButton="0" quotePrefix="0" xfId="0">
      <alignment horizontal="center" vertical="center" wrapText="1"/>
    </xf>
    <xf numFmtId="170" fontId="14" fillId="0" borderId="1" applyAlignment="1" pivotButton="0" quotePrefix="0" xfId="0">
      <alignment horizontal="center" vertical="center" wrapText="1"/>
    </xf>
    <xf numFmtId="0" fontId="29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9" fontId="6" fillId="0" borderId="1" applyAlignment="1" pivotButton="0" quotePrefix="0" xfId="0">
      <alignment horizontal="center" vertical="center" wrapText="1"/>
    </xf>
    <xf numFmtId="165" fontId="6" fillId="2" borderId="1" applyAlignment="1" pivotButton="0" quotePrefix="0" xfId="0">
      <alignment horizontal="left" vertical="center" wrapText="1"/>
    </xf>
    <xf numFmtId="167" fontId="6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top" wrapText="1"/>
    </xf>
    <xf numFmtId="0" fontId="6" fillId="2" borderId="1" pivotButton="0" quotePrefix="0" xfId="0"/>
    <xf numFmtId="0" fontId="8" fillId="0" borderId="0" pivotButton="0" quotePrefix="0" xfId="0"/>
    <xf numFmtId="0" fontId="9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top" wrapText="1"/>
    </xf>
    <xf numFmtId="165" fontId="6" fillId="0" borderId="1" applyAlignment="1" pivotButton="0" quotePrefix="0" xfId="0">
      <alignment horizontal="left" vertical="top" wrapText="1"/>
    </xf>
    <xf numFmtId="167" fontId="6" fillId="0" borderId="1" applyAlignment="1" pivotButton="0" quotePrefix="0" xfId="0">
      <alignment horizontal="left" vertical="top" wrapText="1"/>
    </xf>
    <xf numFmtId="168" fontId="6" fillId="0" borderId="1" applyAlignment="1" pivotButton="0" quotePrefix="0" xfId="0">
      <alignment horizontal="center" vertical="center" wrapText="1"/>
    </xf>
    <xf numFmtId="1" fontId="9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9" fontId="9" fillId="4" borderId="1" applyAlignment="1" pivotButton="0" quotePrefix="0" xfId="0">
      <alignment horizontal="center" vertical="center" wrapText="1"/>
    </xf>
    <xf numFmtId="165" fontId="6" fillId="2" borderId="1" pivotButton="0" quotePrefix="0" xfId="0"/>
    <xf numFmtId="0" fontId="11" fillId="0" borderId="0" pivotButton="0" quotePrefix="0" xfId="0"/>
    <xf numFmtId="0" fontId="16" fillId="5" borderId="0" applyAlignment="1" pivotButton="0" quotePrefix="0" xfId="0">
      <alignment horizontal="center" vertical="center" wrapText="1"/>
    </xf>
    <xf numFmtId="0" fontId="16" fillId="6" borderId="0" applyAlignment="1" pivotButton="0" quotePrefix="0" xfId="0">
      <alignment horizontal="center" vertical="center" wrapText="1"/>
    </xf>
    <xf numFmtId="0" fontId="16" fillId="7" borderId="0" applyAlignment="1" pivotButton="0" quotePrefix="0" xfId="0">
      <alignment horizontal="center" vertical="center" wrapText="1"/>
    </xf>
    <xf numFmtId="0" fontId="16" fillId="8" borderId="0" applyAlignment="1" pivotButton="0" quotePrefix="0" xfId="0">
      <alignment horizontal="center" vertical="center" wrapText="1"/>
    </xf>
    <xf numFmtId="0" fontId="16" fillId="9" borderId="0" applyAlignment="1" pivotButton="0" quotePrefix="0" xfId="0">
      <alignment horizontal="center" vertical="center" wrapText="1"/>
    </xf>
    <xf numFmtId="0" fontId="13" fillId="0" borderId="0" pivotButton="0" quotePrefix="0" xfId="0"/>
    <xf numFmtId="169" fontId="12" fillId="3" borderId="0" applyAlignment="1" pivotButton="0" quotePrefix="0" xfId="0">
      <alignment horizontal="center" vertical="center" wrapText="1"/>
    </xf>
    <xf numFmtId="0" fontId="0" fillId="0" borderId="6" pivotButton="0" quotePrefix="0" xfId="0"/>
    <xf numFmtId="165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168" fontId="10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right"/>
    </xf>
    <xf numFmtId="1" fontId="5" fillId="4" borderId="1" applyAlignment="1" pivotButton="0" quotePrefix="0" xfId="0">
      <alignment horizontal="center" vertical="center" wrapText="1"/>
    </xf>
    <xf numFmtId="9" fontId="5" fillId="4" borderId="1" applyAlignment="1" pivotButton="0" quotePrefix="0" xfId="0">
      <alignment horizontal="center" vertical="center" wrapText="1"/>
    </xf>
    <xf numFmtId="168" fontId="5" fillId="4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24">
    <dxf>
      <font>
        <name val="Arial"/>
        <b val="1"/>
        <color rgb="00027A48"/>
        <sz val="20"/>
      </font>
    </dxf>
    <dxf>
      <font>
        <name val="Arial"/>
        <b val="1"/>
        <color rgb="00D92D20"/>
        <sz val="16"/>
      </font>
    </dxf>
    <dxf>
      <font>
        <name val="Arial"/>
        <b val="1"/>
        <color rgb="00B54708"/>
        <sz val="16"/>
      </font>
    </dxf>
    <dxf>
      <font>
        <name val="Arial"/>
        <b val="1"/>
        <color rgb="00027A48"/>
        <sz val="16"/>
      </font>
    </dxf>
    <dxf>
      <font>
        <name val="Arial"/>
        <b val="1"/>
        <color rgb="00D92D20"/>
        <sz val="10"/>
      </font>
    </dxf>
    <dxf>
      <font>
        <name val="Arial"/>
        <b val="1"/>
        <color rgb="00D92D20"/>
        <sz val="9"/>
      </font>
    </dxf>
    <dxf>
      <fill>
        <patternFill patternType="solid">
          <fgColor rgb="00EAECF0"/>
        </patternFill>
      </fill>
    </dxf>
    <dxf>
      <fill>
        <patternFill patternType="solid">
          <fgColor rgb="00D1E9FF"/>
        </patternFill>
      </fill>
    </dxf>
    <dxf>
      <fill>
        <patternFill patternType="solid">
          <fgColor rgb="00EBE9FE"/>
        </patternFill>
      </fill>
    </dxf>
    <dxf>
      <fill>
        <patternFill patternType="solid">
          <fgColor rgb="00FEE4E2"/>
        </patternFill>
      </fill>
    </dxf>
    <dxf>
      <fill>
        <patternFill patternType="solid">
          <fgColor rgb="00D1FADF"/>
        </patternFill>
      </fill>
    </dxf>
    <dxf>
      <font>
        <name val="Arial"/>
        <b val="1"/>
        <color rgb="00D92D20"/>
        <sz val="9"/>
      </font>
      <fill>
        <patternFill patternType="solid">
          <fgColor rgb="00FEE4E2"/>
        </patternFill>
      </fill>
    </dxf>
    <dxf>
      <font>
        <name val="Arial"/>
        <b val="1"/>
        <color rgb="00D92D20"/>
        <sz val="10"/>
      </font>
      <fill>
        <patternFill patternType="solid">
          <fgColor rgb="00FEE4E2"/>
        </patternFill>
      </fill>
    </dxf>
    <dxf>
      <font>
        <name val="Arial"/>
        <b val="1"/>
        <color rgb="00B54708"/>
        <sz val="10"/>
      </font>
      <fill>
        <patternFill patternType="solid">
          <fgColor rgb="00FEF0C7"/>
        </patternFill>
      </fill>
    </dxf>
    <dxf>
      <font>
        <name val="Arial"/>
        <b val="1"/>
        <color rgb="00027A48"/>
        <sz val="10"/>
      </font>
      <fill>
        <patternFill patternType="solid">
          <fgColor rgb="00ECFDF3"/>
        </patternFill>
      </fill>
    </dxf>
    <dxf>
      <font>
        <name val="Arial"/>
        <b val="1"/>
        <color rgb="00027A48"/>
        <sz val="10"/>
      </font>
      <fill>
        <patternFill patternType="solid">
          <fgColor rgb="00D1FADF"/>
        </patternFill>
      </fill>
    </dxf>
    <dxf>
      <font>
        <name val="Arial"/>
        <strike val="1"/>
        <color rgb="0098A2B3"/>
        <sz val="10"/>
      </font>
    </dxf>
    <dxf>
      <fill>
        <patternFill patternType="solid">
          <fgColor rgb="0032D583"/>
        </patternFill>
      </fill>
    </dxf>
    <dxf>
      <fill>
        <patternFill patternType="solid">
          <fgColor rgb="00F97066"/>
        </patternFill>
      </fill>
    </dxf>
    <dxf>
      <fill>
        <patternFill patternType="solid">
          <fgColor rgb="00FDA29B"/>
        </patternFill>
      </fill>
    </dxf>
    <dxf>
      <fill>
        <patternFill patternType="solid">
          <fgColor rgb="0053B1FD"/>
        </patternFill>
      </fill>
    </dxf>
    <dxf>
      <fill>
        <patternFill patternType="solid">
          <fgColor rgb="00FEDF89"/>
        </patternFill>
      </fill>
    </dxf>
    <dxf>
      <fill>
        <patternFill patternType="solid">
          <fgColor rgb="00F9FAFB"/>
        </patternFill>
      </fill>
    </dxf>
    <dxf>
      <font>
        <name val="Arial"/>
        <color rgb="0098A2B3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Tasks by status</a:t>
            </a:r>
          </a:p>
        </rich>
      </tx>
    </title>
    <plotArea>
      <pieChart>
        <varyColors val="1"/>
        <ser>
          <idx val="0"/>
          <order val="0"/>
          <tx>
            <strRef>
              <f>'Dashboard'!B28</f>
            </strRef>
          </tx>
          <spPr>
            <a:ln>
              <a:prstDash val="solid"/>
            </a:ln>
          </spPr>
          <cat>
            <numRef>
              <f>'Dashboard'!$A$29:$A$33</f>
            </numRef>
          </cat>
          <val>
            <numRef>
              <f>'Dashboard'!$B$29:$B$33</f>
            </numRef>
          </val>
        </ser>
        <dLbls>
          <showVal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Open tasks by priority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'Dashboard'!E28</f>
            </strRef>
          </tx>
          <spPr>
            <a:ln>
              <a:prstDash val="solid"/>
            </a:ln>
          </spPr>
          <cat>
            <numRef>
              <f>'Dashboard'!$D$29:$D$32</f>
            </numRef>
          </cat>
          <val>
            <numRef>
              <f>'Dashboard'!$E$29:$E$32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Workload per member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'Dashboard'!B47</f>
            </strRef>
          </tx>
          <spPr>
            <a:ln>
              <a:prstDash val="solid"/>
            </a:ln>
          </spPr>
          <cat>
            <numRef>
              <f>'Dashboard'!$A$48:$A$50</f>
            </numRef>
          </cat>
          <val>
            <numRef>
              <f>'Dashboard'!$B$48:$B$50</f>
            </numRef>
          </val>
        </ser>
        <ser>
          <idx val="1"/>
          <order val="1"/>
          <tx>
            <strRef>
              <f>'Dashboard'!C47</f>
            </strRef>
          </tx>
          <spPr>
            <a:ln>
              <a:prstDash val="solid"/>
            </a:ln>
          </spPr>
          <cat>
            <numRef>
              <f>'Dashboard'!$A$48:$A$50</f>
            </numRef>
          </cat>
          <val>
            <numRef>
              <f>'Dashboard'!$C$48:$C$50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Burn-up: done vs total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'Dashboard'!L47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'Dashboard'!$J$48:$J$63</f>
            </numRef>
          </cat>
          <val>
            <numRef>
              <f>'Dashboard'!$L$48:$L$63</f>
            </numRef>
          </val>
        </ser>
        <ser>
          <idx val="1"/>
          <order val="1"/>
          <tx>
            <strRef>
              <f>'Dashboard'!M47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'Dashboard'!$J$48:$J$63</f>
            </numRef>
          </cat>
          <val>
            <numRef>
              <f>'Dashboard'!$M$48:$M$63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Tasks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How to use</author>
  </authors>
  <commentList>
    <comment ref="A5" authorId="0" shapeId="0">
      <text>
        <t>Filled in automatically when you type a task name.</t>
      </text>
    </comment>
    <comment ref="B5" authorId="0" shapeId="0">
      <text>
        <t>What needs to be done, in a few words. Start with a verb: 'Write…', 'Fix…', 'Review…'.</t>
      </text>
    </comment>
    <comment ref="C5" authorId="0" shapeId="0">
      <text>
        <t>Which milestone (phase) this task belongs to. List them on the Milestones sheet.</t>
      </text>
    </comment>
    <comment ref="D5" authorId="0" shapeId="0">
      <text>
        <t>Who is doing it. Names come from Settings → Team members. Leave empty if nobody has picked it up yet.</t>
      </text>
    </comment>
    <comment ref="E5" authorId="0" shapeId="0">
      <text>
        <t>Not started → In progress → In review → Done. Use Blocked when you're stuck.</t>
      </text>
    </comment>
    <comment ref="F5" authorId="0" shapeId="0">
      <text>
        <t>Critical = the project fails without it. High = important. Medium / Low = nice to have.</t>
      </text>
    </comment>
    <comment ref="G5" authorId="0" shapeId="0">
      <text>
        <t>When work starts. Used to draw the bar on the Timeline.</t>
      </text>
    </comment>
    <comment ref="H5" authorId="0" shapeId="0">
      <text>
        <t>Deadline (date and time). Overdue tasks turn red.</t>
      </text>
    </comment>
    <comment ref="I5" authorId="0" shapeId="0">
      <text>
        <t>The date you finished. Feeds the weekly progress chart.</t>
      </text>
    </comment>
    <comment ref="J5" authorId="0" shapeId="0">
      <text>
        <t>Rough guess of the hours needed. Used to balance the workload.</t>
      </text>
    </comment>
    <comment ref="K5" authorId="0" shapeId="0">
      <text>
        <t>How far along it is: 0%, 25%, 50%, 75% or 100%.</t>
      </text>
    </comment>
    <comment ref="L5" authorId="0" shapeId="0">
      <text>
        <t>Calculated: days until the due date.</t>
      </text>
    </comment>
    <comment ref="M5" authorId="0" shapeId="0">
      <text>
        <t>Calculated: On track / Due soon (3 days or less) / Overdue / Blocked / Done.</t>
      </text>
    </comment>
    <comment ref="N5" authorId="0" shapeId="0">
      <text>
        <t>ID of a task that must finish first, e.g. T-002.</t>
      </text>
    </comment>
    <comment ref="O5" authorId="0" shapeId="0">
      <text>
        <t>Anything useful: links, files, decisions.</t>
      </text>
    </comment>
  </commentList>
</comments>
</file>

<file path=xl/comments/comment2.xml><?xml version="1.0" encoding="utf-8"?>
<comments xmlns="http://schemas.openxmlformats.org/spreadsheetml/2006/main">
  <authors>
    <author>How to use</author>
    <author>Template</author>
  </authors>
  <commentList>
    <comment ref="A5" authorId="0" shapeId="0">
      <text>
        <t>Today's date (Ctrl + ; types it for you).</t>
      </text>
    </comment>
    <comment ref="B5" authorId="0" shapeId="0">
      <text>
        <t>Your name (drop-down).</t>
      </text>
    </comment>
    <comment ref="C5" authorId="0" shapeId="0">
      <text>
        <t>What you finished since your last check-in.</t>
      </text>
    </comment>
    <comment ref="D5" authorId="0" shapeId="0">
      <text>
        <t>What you'll work on next.</t>
      </text>
    </comment>
    <comment ref="E5" authorId="0" shapeId="0">
      <text>
        <t>Anything stopping you. Write '—' if nothing. Text here turns red so the lead notices.</t>
      </text>
    </comment>
    <comment ref="F5" authorId="0" shapeId="0">
      <text>
        <t>Hours you spent (optional).</t>
      </text>
    </comment>
    <comment ref="G5" authorId="0" shapeId="0">
      <text>
        <t>How you feel about your work (optional).</t>
      </text>
    </comment>
    <comment ref="H5" authorId="0" shapeId="0">
      <text>
        <t>Related task ID from the Tasks sheet, e.g. T-004 (optional).</t>
      </text>
    </comment>
    <comment ref="A6" authorId="1" shapeId="0">
      <text>
        <t>Example row (purple italics): overwrite it with your first real check-in.</t>
      </text>
    </comment>
  </commentList>
</comments>
</file>

<file path=xl/comments/comment3.xml><?xml version="1.0" encoding="utf-8"?>
<comments xmlns="http://schemas.openxmlformats.org/spreadsheetml/2006/main">
  <authors>
    <author>How to use</author>
  </authors>
  <commentList>
    <comment ref="C5" authorId="0" shapeId="0">
      <text>
        <t>What to learn.</t>
      </text>
    </comment>
    <comment ref="D5" authorId="0" shapeId="0">
      <text>
        <t>Click to open the free resource.</t>
      </text>
    </comment>
    <comment ref="E5" authorId="0" shapeId="0">
      <text>
        <t>Rough study time.</t>
      </text>
    </comment>
    <comment ref="F5" authorId="0" shapeId="0">
      <text>
        <t>Calculated: how many members finished this topic.</t>
      </text>
    </comment>
    <comment ref="H5" authorId="0" shapeId="0">
      <text>
        <t>Each member has a column: pick Not started / In progress / Done for each topic.</t>
      </text>
    </comment>
  </commentList>
</comments>
</file>

<file path=xl/comments/comment4.xml><?xml version="1.0" encoding="utf-8"?>
<comments xmlns="http://schemas.openxmlformats.org/spreadsheetml/2006/main">
  <authors>
    <author>How to use</author>
  </authors>
  <commentList>
    <comment ref="B5" authorId="0" shapeId="0">
      <text>
        <t>Describe what could go wrong (risk) or what already went wrong (issue).</t>
      </text>
    </comment>
    <comment ref="D5" authorId="0" shapeId="0">
      <text>
        <t>How likely is it? 1 = very unlikely … 5 = almost certain.</t>
      </text>
    </comment>
    <comment ref="E5" authorId="0" shapeId="0">
      <text>
        <t>How bad would it be? 1 = minor … 5 = project fails.</t>
      </text>
    </comment>
    <comment ref="F5" authorId="0" shapeId="0">
      <text>
        <t>Calculated: likelihood × impact. 15+ is High, 8–14 Medium.</t>
      </text>
    </comment>
    <comment ref="I5" authorId="0" shapeId="0">
      <text>
        <t>What you'll do to prevent it or limit the damage.</t>
      </text>
    </comment>
    <comment ref="J5" authorId="0" shapeId="0">
      <text>
        <t>Open → Monitoring → Closed.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26</row>
      <rowOff>0</rowOff>
    </from>
    <ext cx="39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26</row>
      <rowOff>0</rowOff>
    </from>
    <ext cx="324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58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64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Tasks'!A1" TargetMode="External" Id="rId2" /><Relationship Type="http://schemas.openxmlformats.org/officeDocument/2006/relationships/hyperlink" Target="#'Timeline'!A1" TargetMode="External" Id="rId3" /><Relationship Type="http://schemas.openxmlformats.org/officeDocument/2006/relationships/hyperlink" Target="#'Milestones'!A1" TargetMode="External" Id="rId4" /><Relationship Type="http://schemas.openxmlformats.org/officeDocument/2006/relationships/hyperlink" Target="#'Check-ins'!A1" TargetMode="External" Id="rId5" /><Relationship Type="http://schemas.openxmlformats.org/officeDocument/2006/relationships/hyperlink" Target="#'Learning'!A1" TargetMode="External" Id="rId6" /><Relationship Type="http://schemas.openxmlformats.org/officeDocument/2006/relationships/hyperlink" Target="#'Risks &amp; Issues'!A1" TargetMode="External" Id="rId7" /><Relationship Type="http://schemas.openxmlformats.org/officeDocument/2006/relationships/hyperlink" Target="#'Settings'!A1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Start Here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Start Here'!A1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#'Start Here'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Start Here'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'Start Here'!A1" TargetMode="Externa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hyperlink" Target="#'Start Here'!A1" TargetMode="External" Id="rId1" /><Relationship Type="http://schemas.openxmlformats.org/officeDocument/2006/relationships/hyperlink" Target="https://example.com" TargetMode="External" Id="rId2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#'Start Here'!A1" TargetMode="Externa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tabColor rgb="00D49A2A"/>
    <outlinePr summaryBelow="1" summaryRight="1"/>
    <pageSetUpPr fitToPage="1"/>
  </sheetPr>
  <dimension ref="B2:C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90" customWidth="1" min="3" max="3"/>
  </cols>
  <sheetData>
    <row r="2">
      <c r="B2" s="1" t="inlineStr">
        <is>
          <t>Project Tracker</t>
        </is>
      </c>
    </row>
    <row r="3">
      <c r="B3" s="2">
        <f>Settings!B6</f>
        <v/>
      </c>
    </row>
    <row r="4">
      <c r="B4" s="3" t="inlineStr">
        <is>
          <t>Tasks · timeline · milestones · daily check-ins · learning · risks, all in one workbook.</t>
        </is>
      </c>
    </row>
    <row r="6">
      <c r="B6" s="4" t="inlineStr">
        <is>
          <t>Go to</t>
        </is>
      </c>
    </row>
    <row r="7" ht="22" customHeight="1">
      <c r="B7" s="5" t="inlineStr">
        <is>
          <t>▸ Dashboard</t>
        </is>
      </c>
      <c r="C7" s="6" t="inlineStr">
        <is>
          <t>Live overview: KPIs, project health, member focus picker, deadlines and charts.</t>
        </is>
      </c>
    </row>
    <row r="8" ht="22" customHeight="1">
      <c r="B8" s="5" t="inlineStr">
        <is>
          <t>▸ Tasks</t>
        </is>
      </c>
      <c r="C8" s="6" t="inlineStr">
        <is>
          <t>Your to-do list. One row per task with owner, status, priority, dates and progress.</t>
        </is>
      </c>
    </row>
    <row r="9" ht="22" customHeight="1">
      <c r="B9" s="5" t="inlineStr">
        <is>
          <t>▸ Timeline</t>
        </is>
      </c>
      <c r="C9" s="6" t="inlineStr">
        <is>
          <t>Gantt chart built automatically from the Tasks sheet. Change the start date to scroll.</t>
        </is>
      </c>
    </row>
    <row r="10" ht="22" customHeight="1">
      <c r="B10" s="5" t="inlineStr">
        <is>
          <t>▸ Milestones</t>
        </is>
      </c>
      <c r="C10" s="6" t="inlineStr">
        <is>
          <t>Big checkpoints. % done is calculated from the tasks linked to each one.</t>
        </is>
      </c>
    </row>
    <row r="11" ht="22" customHeight="1">
      <c r="B11" s="5" t="inlineStr">
        <is>
          <t>▸ Check-ins</t>
        </is>
      </c>
      <c r="C11" s="6" t="inlineStr">
        <is>
          <t>Daily stand-up log: what I did, what's next, what's blocking me, and my mood.</t>
        </is>
      </c>
    </row>
    <row r="12" ht="22" customHeight="1">
      <c r="B12" s="5" t="inlineStr">
        <is>
          <t>▸ Learning</t>
        </is>
      </c>
      <c r="C12" s="6" t="inlineStr">
        <is>
          <t>Skills matrix: every member tracks the topics they're learning.</t>
        </is>
      </c>
    </row>
    <row r="13" ht="22" customHeight="1">
      <c r="B13" s="5" t="inlineStr">
        <is>
          <t>▸ Risks &amp; Issues</t>
        </is>
      </c>
      <c r="C13" s="6" t="inlineStr">
        <is>
          <t>What could go wrong, how bad it is (score), who owns it, and the plan.</t>
        </is>
      </c>
    </row>
    <row r="14" ht="22" customHeight="1">
      <c r="B14" s="5" t="inlineStr">
        <is>
          <t>▸ Settings</t>
        </is>
      </c>
      <c r="C14" s="6" t="inlineStr">
        <is>
          <t>Project name, dates, time zone, team members and drop-down lists.</t>
        </is>
      </c>
    </row>
    <row r="16">
      <c r="B16" s="4" t="inlineStr">
        <is>
          <t>Set up in 3 steps</t>
        </is>
      </c>
    </row>
    <row r="17">
      <c r="B17" s="7" t="inlineStr">
        <is>
          <t>1 · Settings: type your project name, start and end dates, time zone and team members.</t>
        </is>
      </c>
    </row>
    <row r="18">
      <c r="B18" s="7" t="inlineStr">
        <is>
          <t>2 · Milestones: list your big checkpoints. Then add tasks on the Tasks sheet and link each one to a milestone.</t>
        </is>
      </c>
    </row>
    <row r="19">
      <c r="B19" s="7" t="inlineStr">
        <is>
          <t>3 · Every day: update task status and progress, and add a short row on Check-ins. The Dashboard does the rest.</t>
        </is>
      </c>
    </row>
    <row r="21">
      <c r="B21" s="4" t="inlineStr">
        <is>
          <t>Colour key</t>
        </is>
      </c>
    </row>
    <row r="22">
      <c r="B22" s="8" t="inlineStr">
        <is>
          <t>Blue text</t>
        </is>
      </c>
      <c r="C22" s="7" t="inlineStr">
        <is>
          <t>Cells you type in (inputs).</t>
        </is>
      </c>
    </row>
    <row r="23">
      <c r="B23" s="9" t="inlineStr">
        <is>
          <t>Grey cells</t>
        </is>
      </c>
      <c r="C23" s="7" t="inlineStr">
        <is>
          <t>Calculated by formulas: don't type here.</t>
        </is>
      </c>
    </row>
    <row r="24">
      <c r="B24" s="10" t="inlineStr">
        <is>
          <t>Purple italics</t>
        </is>
      </c>
      <c r="C24" s="7" t="inlineStr">
        <is>
          <t>Example rows: overwrite or delete them.</t>
        </is>
      </c>
    </row>
    <row r="25">
      <c r="B25" s="11" t="inlineStr">
        <is>
          <t>Red</t>
        </is>
      </c>
      <c r="C25" s="7" t="inlineStr">
        <is>
          <t>Overdue, blocked or high risk: needs attention.</t>
        </is>
      </c>
    </row>
    <row r="27">
      <c r="B27" s="4" t="inlineStr">
        <is>
          <t>Tips</t>
        </is>
      </c>
    </row>
    <row r="28">
      <c r="B28" s="7" t="inlineStr">
        <is>
          <t>• Use the filter arrows on each header row to see only your own tasks, or only open ones.</t>
        </is>
      </c>
    </row>
    <row r="29">
      <c r="B29" s="7" t="inlineStr">
        <is>
          <t>• Share the workbook through OneDrive, SharePoint or Google Drive so everyone edits the same copy.</t>
        </is>
      </c>
    </row>
    <row r="30">
      <c r="B30" s="7" t="inlineStr">
        <is>
          <t>• The Dashboard is protected so its formulas can't be broken by accident (Review → Unprotect Sheet, no password).</t>
        </is>
      </c>
    </row>
    <row r="31">
      <c r="B31" s="7" t="inlineStr">
        <is>
          <t>• All dates and times are shown in the time zone set on the Settings sheet (currently: Local time), 12-hour AM/PM.</t>
        </is>
      </c>
    </row>
    <row r="32">
      <c r="B32" s="7" t="inlineStr">
        <is>
          <t>• Need more rows? Tasks has 300, Check-ins 500, Learning 150 and Risks 100 ready to use.</t>
        </is>
      </c>
    </row>
  </sheetData>
  <mergeCells count="8">
    <mergeCell ref="B30:C30"/>
    <mergeCell ref="B29:C29"/>
    <mergeCell ref="B19:C19"/>
    <mergeCell ref="B28:C28"/>
    <mergeCell ref="B32:C32"/>
    <mergeCell ref="B31:C31"/>
    <mergeCell ref="B17:C17"/>
    <mergeCell ref="B18:C18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D49A2A"/>
    <outlinePr summaryBelow="1" summaryRight="1"/>
    <pageSetUpPr fitToPage="1"/>
  </sheetPr>
  <dimension ref="A1:N9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3" customWidth="1" min="3" max="3"/>
    <col width="16" customWidth="1" min="4" max="4"/>
    <col width="11" customWidth="1" min="5" max="5"/>
    <col width="3" customWidth="1" min="6" max="6"/>
    <col width="16" customWidth="1" min="7" max="7"/>
    <col width="11" customWidth="1" min="8" max="8"/>
    <col width="3" customWidth="1" min="9" max="9"/>
    <col width="16" customWidth="1" min="10" max="10"/>
    <col width="11" customWidth="1" min="11" max="11"/>
    <col width="3" customWidth="1" min="12" max="12"/>
    <col width="16" customWidth="1" min="13" max="13"/>
    <col width="11" customWidth="1" min="14" max="14"/>
  </cols>
  <sheetData>
    <row r="1" ht="34" customHeight="1">
      <c r="A1" s="12">
        <f>Settings!B6&amp;"  ·  Project Dashboard"</f>
        <v/>
      </c>
    </row>
    <row r="2">
      <c r="A2" s="3">
        <f>"Lead: "&amp;Settings!B7&amp;"   ·   "&amp;TEXT(ProjStart,"mmm d, yyyy")&amp;" → "&amp;TEXT(ProjEnd,"mmm d, yyyy h:mm AM/PM")&amp;"   ·   Times: "&amp;Settings!B10</f>
        <v/>
      </c>
    </row>
    <row r="3">
      <c r="A3" s="13">
        <f>"Updated "&amp;TEXT(NOW(),"ddd, mmm d yyyy, h:mm AM/PM")&amp;"  ·  All numbers are formulas: edit the other sheets, not this one."</f>
        <v/>
      </c>
    </row>
    <row r="4"/>
    <row r="5">
      <c r="A5" s="14" t="inlineStr">
        <is>
          <t>Tasks</t>
        </is>
      </c>
      <c r="B5" s="15" t="n"/>
      <c r="D5" s="14" t="inlineStr">
        <is>
          <t>Done</t>
        </is>
      </c>
      <c r="E5" s="15" t="n"/>
      <c r="G5" s="14" t="inlineStr">
        <is>
          <t>% complete</t>
        </is>
      </c>
      <c r="H5" s="15" t="n"/>
      <c r="J5" s="14" t="inlineStr">
        <is>
          <t>Avg. progress</t>
        </is>
      </c>
      <c r="K5" s="15" t="n"/>
      <c r="M5" s="14" t="inlineStr">
        <is>
          <t>Days to deadline</t>
        </is>
      </c>
      <c r="N5" s="15" t="n"/>
    </row>
    <row r="6" ht="34" customHeight="1">
      <c r="A6" s="16">
        <f>COUNTA(Tasks!$B$6:$B$305)</f>
        <v/>
      </c>
      <c r="B6" s="15" t="n"/>
      <c r="D6" s="17">
        <f>COUNTIF(Tasks!$E$6:$E$305,"Done")</f>
        <v/>
      </c>
      <c r="E6" s="15" t="n"/>
      <c r="G6" s="18">
        <f>IFERROR(COUNTIF(Tasks!$E$6:$E$305,"Done")/COUNTA(Tasks!$B$6:$B$305),0)</f>
        <v/>
      </c>
      <c r="H6" s="15" t="n"/>
      <c r="J6" s="19">
        <f>IFERROR(SUMPRODUCT((Tasks!$B$6:$B$305&lt;&gt;"")*Tasks!$K$6:$K$305)/COUNTA(Tasks!$B$6:$B$305),0)</f>
        <v/>
      </c>
      <c r="K6" s="15" t="n"/>
      <c r="M6" s="16">
        <f>IF(ProjEnd="","—",MAX(0,ROUNDDOWN(ProjEnd-NOW(),0)))</f>
        <v/>
      </c>
      <c r="N6" s="15" t="n"/>
    </row>
    <row r="7"/>
    <row r="8">
      <c r="A8" s="14" t="inlineStr">
        <is>
          <t>Overdue</t>
        </is>
      </c>
      <c r="B8" s="15" t="n"/>
      <c r="D8" s="14" t="inlineStr">
        <is>
          <t>Due in 7 days</t>
        </is>
      </c>
      <c r="E8" s="15" t="n"/>
      <c r="G8" s="14" t="inlineStr">
        <is>
          <t>Blocked</t>
        </is>
      </c>
      <c r="H8" s="15" t="n"/>
      <c r="J8" s="14" t="inlineStr">
        <is>
          <t>Unassigned (open)</t>
        </is>
      </c>
      <c r="K8" s="15" t="n"/>
      <c r="M8" s="14" t="inlineStr">
        <is>
          <t>High risks open</t>
        </is>
      </c>
      <c r="N8" s="15" t="n"/>
    </row>
    <row r="9" ht="34" customHeight="1">
      <c r="A9" s="20">
        <f>COUNTIF(Tasks!$M$6:$M$305,"Overdue")</f>
        <v/>
      </c>
      <c r="B9" s="15" t="n"/>
      <c r="D9" s="21">
        <f>SUMPRODUCT((Tasks!$B$6:$B$305&lt;&gt;"")*(Tasks!$E$6:$E$305&lt;&gt;"Done")*(Tasks!$H$6:$H$305&gt;=NOW())*(Tasks!$H$6:$H$305&lt;NOW()+7))</f>
        <v/>
      </c>
      <c r="E9" s="15" t="n"/>
      <c r="G9" s="20">
        <f>COUNTIF(Tasks!$E$6:$E$305,"Blocked")</f>
        <v/>
      </c>
      <c r="H9" s="15" t="n"/>
      <c r="J9" s="21">
        <f>SUMPRODUCT((Tasks!$B$6:$B$305&lt;&gt;"")*(Tasks!$E$6:$E$305&lt;&gt;"Done")*(Tasks!$D$6:$D$305=""))</f>
        <v/>
      </c>
      <c r="K9" s="15" t="n"/>
      <c r="M9" s="20">
        <f>COUNTIFS('Risks &amp; Issues'!$G$6:$G$105,"High",'Risks &amp; Issues'!$J$6:$J$105,"&lt;&gt;Closed")</f>
        <v/>
      </c>
      <c r="N9" s="15" t="n"/>
    </row>
    <row r="10"/>
    <row r="11">
      <c r="A11" s="4" t="inlineStr">
        <is>
          <t>Project health</t>
        </is>
      </c>
    </row>
    <row r="12">
      <c r="A12" s="22" t="inlineStr">
        <is>
          <t>Time elapsed</t>
        </is>
      </c>
      <c r="B12" s="23">
        <f>IFERROR(MAX(0,MIN(1,(NOW()-ProjStart)/(ProjEnd-ProjStart))),0)</f>
        <v/>
      </c>
      <c r="D12" s="24">
        <f>IF(A9+G9&gt;0,"AT RISK",IF(B13+0.15&lt;B12,"BEHIND SCHEDULE","ON TRACK"))</f>
        <v/>
      </c>
      <c r="J12" s="25" t="inlineStr">
        <is>
          <t>Rule: at risk if anything is overdue or blocked; behind if work done trails time elapsed by more than 15 points.</t>
        </is>
      </c>
    </row>
    <row r="13">
      <c r="A13" s="22" t="inlineStr">
        <is>
          <t>Work complete</t>
        </is>
      </c>
      <c r="B13" s="23">
        <f>G6</f>
        <v/>
      </c>
    </row>
    <row r="14"/>
    <row r="15">
      <c r="A15" s="4" t="inlineStr">
        <is>
          <t>Member focus</t>
        </is>
      </c>
      <c r="G15" s="4" t="inlineStr">
        <is>
          <t>Next deadlines (open tasks)</t>
        </is>
      </c>
    </row>
    <row r="16">
      <c r="A16" s="26" t="inlineStr">
        <is>
          <t>Pick a member ▸</t>
        </is>
      </c>
      <c r="B16" s="27" t="inlineStr">
        <is>
          <t>Alex (example)</t>
        </is>
      </c>
      <c r="C16" s="28" t="n"/>
      <c r="D16" s="28" t="n"/>
      <c r="E16" s="29" t="n"/>
      <c r="G16" s="30" t="inlineStr">
        <is>
          <t>Due</t>
        </is>
      </c>
      <c r="H16" s="30" t="inlineStr">
        <is>
          <t>Task</t>
        </is>
      </c>
      <c r="K16" s="30" t="inlineStr">
        <is>
          <t>Owner</t>
        </is>
      </c>
      <c r="L16" s="30" t="inlineStr">
        <is>
          <t>Status</t>
        </is>
      </c>
    </row>
    <row r="17">
      <c r="A17" s="22" t="inlineStr">
        <is>
          <t>Open tasks</t>
        </is>
      </c>
      <c r="B17" s="31">
        <f>COUNTIFS(Tasks!$D$6:$D$305,$B$16,Tasks!$E$6:$E$305,"&lt;&gt;Done")</f>
        <v/>
      </c>
      <c r="G17" s="32">
        <f>IFERROR(INDEX(Tasks!$H$6:$H$305,MATCH(SMALL(Tasks!$P$6:$P$305,1),Tasks!$P$6:$P$305,0)),"")</f>
        <v/>
      </c>
      <c r="H17" s="33">
        <f>IFERROR(INDEX(Tasks!$B$6:$B$305,MATCH(SMALL(Tasks!$P$6:$P$305,1),Tasks!$P$6:$P$305,0)),"")</f>
        <v/>
      </c>
      <c r="K17" s="34">
        <f>IFERROR(IF(INDEX(Tasks!$D$6:$D$305,MATCH(SMALL(Tasks!$P$6:$P$305,1),Tasks!$P$6:$P$305,0))="","(unassigned)",INDEX(Tasks!$D$6:$D$305,MATCH(SMALL(Tasks!$P$6:$P$305,1),Tasks!$P$6:$P$305,0))),"")</f>
        <v/>
      </c>
      <c r="L17" s="34">
        <f>IFERROR(INDEX(Tasks!$E$6:$E$305,MATCH(SMALL(Tasks!$P$6:$P$305,1),Tasks!$P$6:$P$305,0)),"")</f>
        <v/>
      </c>
    </row>
    <row r="18">
      <c r="A18" s="22" t="inlineStr">
        <is>
          <t>Done</t>
        </is>
      </c>
      <c r="B18" s="31">
        <f>COUNTIFS(Tasks!$D$6:$D$305,$B$16,Tasks!$E$6:$E$305,"Done")</f>
        <v/>
      </c>
      <c r="G18" s="32">
        <f>IFERROR(INDEX(Tasks!$H$6:$H$305,MATCH(SMALL(Tasks!$P$6:$P$305,2),Tasks!$P$6:$P$305,0)),"")</f>
        <v/>
      </c>
      <c r="H18" s="33">
        <f>IFERROR(INDEX(Tasks!$B$6:$B$305,MATCH(SMALL(Tasks!$P$6:$P$305,2),Tasks!$P$6:$P$305,0)),"")</f>
        <v/>
      </c>
      <c r="K18" s="34">
        <f>IFERROR(IF(INDEX(Tasks!$D$6:$D$305,MATCH(SMALL(Tasks!$P$6:$P$305,2),Tasks!$P$6:$P$305,0))="","(unassigned)",INDEX(Tasks!$D$6:$D$305,MATCH(SMALL(Tasks!$P$6:$P$305,2),Tasks!$P$6:$P$305,0))),"")</f>
        <v/>
      </c>
      <c r="L18" s="34">
        <f>IFERROR(INDEX(Tasks!$E$6:$E$305,MATCH(SMALL(Tasks!$P$6:$P$305,2),Tasks!$P$6:$P$305,0)),"")</f>
        <v/>
      </c>
    </row>
    <row r="19">
      <c r="A19" s="22" t="inlineStr">
        <is>
          <t>Overdue</t>
        </is>
      </c>
      <c r="B19" s="31">
        <f>COUNTIFS(Tasks!$D$6:$D$305,$B$16,Tasks!$M$6:$M$305,"Overdue")</f>
        <v/>
      </c>
      <c r="G19" s="32">
        <f>IFERROR(INDEX(Tasks!$H$6:$H$305,MATCH(SMALL(Tasks!$P$6:$P$305,3),Tasks!$P$6:$P$305,0)),"")</f>
        <v/>
      </c>
      <c r="H19" s="33">
        <f>IFERROR(INDEX(Tasks!$B$6:$B$305,MATCH(SMALL(Tasks!$P$6:$P$305,3),Tasks!$P$6:$P$305,0)),"")</f>
        <v/>
      </c>
      <c r="K19" s="34">
        <f>IFERROR(IF(INDEX(Tasks!$D$6:$D$305,MATCH(SMALL(Tasks!$P$6:$P$305,3),Tasks!$P$6:$P$305,0))="","(unassigned)",INDEX(Tasks!$D$6:$D$305,MATCH(SMALL(Tasks!$P$6:$P$305,3),Tasks!$P$6:$P$305,0))),"")</f>
        <v/>
      </c>
      <c r="L19" s="34">
        <f>IFERROR(INDEX(Tasks!$E$6:$E$305,MATCH(SMALL(Tasks!$P$6:$P$305,3),Tasks!$P$6:$P$305,0)),"")</f>
        <v/>
      </c>
    </row>
    <row r="20">
      <c r="A20" s="22" t="inlineStr">
        <is>
          <t>Open hours (est.)</t>
        </is>
      </c>
      <c r="B20" s="35">
        <f>SUMIFS(Tasks!$J$6:$J$305,Tasks!$D$6:$D$305,$B$16,Tasks!$E$6:$E$305,"&lt;&gt;Done")</f>
        <v/>
      </c>
      <c r="G20" s="32">
        <f>IFERROR(INDEX(Tasks!$H$6:$H$305,MATCH(SMALL(Tasks!$P$6:$P$305,4),Tasks!$P$6:$P$305,0)),"")</f>
        <v/>
      </c>
      <c r="H20" s="33">
        <f>IFERROR(INDEX(Tasks!$B$6:$B$305,MATCH(SMALL(Tasks!$P$6:$P$305,4),Tasks!$P$6:$P$305,0)),"")</f>
        <v/>
      </c>
      <c r="K20" s="34">
        <f>IFERROR(IF(INDEX(Tasks!$D$6:$D$305,MATCH(SMALL(Tasks!$P$6:$P$305,4),Tasks!$P$6:$P$305,0))="","(unassigned)",INDEX(Tasks!$D$6:$D$305,MATCH(SMALL(Tasks!$P$6:$P$305,4),Tasks!$P$6:$P$305,0))),"")</f>
        <v/>
      </c>
      <c r="L20" s="34">
        <f>IFERROR(INDEX(Tasks!$E$6:$E$305,MATCH(SMALL(Tasks!$P$6:$P$305,4),Tasks!$P$6:$P$305,0)),"")</f>
        <v/>
      </c>
    </row>
    <row r="21">
      <c r="A21" s="22" t="inlineStr">
        <is>
          <t>Next due</t>
        </is>
      </c>
      <c r="B21" s="36">
        <f>IF(SUMPRODUCT(MIN(Tasks!$H$6:$H$305+((Tasks!$D$6:$D$305&lt;&gt;$B$16)+(Tasks!$E$6:$E$305="Done")+(Tasks!$H$6:$H$305=""))*1000000))&gt;100000,"—",SUMPRODUCT(MIN(Tasks!$H$6:$H$305+((Tasks!$D$6:$D$305&lt;&gt;$B$16)+(Tasks!$E$6:$E$305="Done")+(Tasks!$H$6:$H$305=""))*1000000)))</f>
        <v/>
      </c>
      <c r="G21" s="32">
        <f>IFERROR(INDEX(Tasks!$H$6:$H$305,MATCH(SMALL(Tasks!$P$6:$P$305,5),Tasks!$P$6:$P$305,0)),"")</f>
        <v/>
      </c>
      <c r="H21" s="33">
        <f>IFERROR(INDEX(Tasks!$B$6:$B$305,MATCH(SMALL(Tasks!$P$6:$P$305,5),Tasks!$P$6:$P$305,0)),"")</f>
        <v/>
      </c>
      <c r="K21" s="34">
        <f>IFERROR(IF(INDEX(Tasks!$D$6:$D$305,MATCH(SMALL(Tasks!$P$6:$P$305,5),Tasks!$P$6:$P$305,0))="","(unassigned)",INDEX(Tasks!$D$6:$D$305,MATCH(SMALL(Tasks!$P$6:$P$305,5),Tasks!$P$6:$P$305,0))),"")</f>
        <v/>
      </c>
      <c r="L21" s="34">
        <f>IFERROR(INDEX(Tasks!$E$6:$E$305,MATCH(SMALL(Tasks!$P$6:$P$305,5),Tasks!$P$6:$P$305,0)),"")</f>
        <v/>
      </c>
    </row>
    <row r="22">
      <c r="A22" s="22" t="inlineStr">
        <is>
          <t>Next task</t>
        </is>
      </c>
      <c r="B22" s="37">
        <f>IF(SUMPRODUCT(MIN(Tasks!$H$6:$H$305+((Tasks!$D$6:$D$305&lt;&gt;$B$16)+(Tasks!$E$6:$E$305="Done")+(Tasks!$H$6:$H$305=""))*1000000))&gt;100000,"—",INDEX(Tasks!$B:$B,SUMPRODUCT(MAX((Tasks!$D$6:$D$305=$B$16)*(Tasks!$E$6:$E$305&lt;&gt;"Done")*(Tasks!$H$6:$H$305=SUMPRODUCT(MIN(Tasks!$H$6:$H$305+((Tasks!$D$6:$D$305&lt;&gt;$B$16)+(Tasks!$E$6:$E$305="Done")+(Tasks!$H$6:$H$305=""))*1000000)))*ROW(Tasks!$H$6:$H$305)))))</f>
        <v/>
      </c>
      <c r="G22" s="32">
        <f>IFERROR(INDEX(Tasks!$H$6:$H$305,MATCH(SMALL(Tasks!$P$6:$P$305,6),Tasks!$P$6:$P$305,0)),"")</f>
        <v/>
      </c>
      <c r="H22" s="33">
        <f>IFERROR(INDEX(Tasks!$B$6:$B$305,MATCH(SMALL(Tasks!$P$6:$P$305,6),Tasks!$P$6:$P$305,0)),"")</f>
        <v/>
      </c>
      <c r="K22" s="34">
        <f>IFERROR(IF(INDEX(Tasks!$D$6:$D$305,MATCH(SMALL(Tasks!$P$6:$P$305,6),Tasks!$P$6:$P$305,0))="","(unassigned)",INDEX(Tasks!$D$6:$D$305,MATCH(SMALL(Tasks!$P$6:$P$305,6),Tasks!$P$6:$P$305,0))),"")</f>
        <v/>
      </c>
      <c r="L22" s="34">
        <f>IFERROR(INDEX(Tasks!$E$6:$E$305,MATCH(SMALL(Tasks!$P$6:$P$305,6),Tasks!$P$6:$P$305,0)),"")</f>
        <v/>
      </c>
    </row>
    <row r="23">
      <c r="A23" s="22" t="inlineStr">
        <is>
          <t>Last check-in</t>
        </is>
      </c>
      <c r="B23" s="38">
        <f>IF(COUNTIF('Check-ins'!$B$6:$B$505,$B$16)=0,"—",SUMPRODUCT(MAX(('Check-ins'!$B$6:$B$505=$B$16)*'Check-ins'!$A$6:$A$505)))</f>
        <v/>
      </c>
      <c r="G23" s="32">
        <f>IFERROR(INDEX(Tasks!$H$6:$H$305,MATCH(SMALL(Tasks!$P$6:$P$305,7),Tasks!$P$6:$P$305,0)),"")</f>
        <v/>
      </c>
      <c r="H23" s="33">
        <f>IFERROR(INDEX(Tasks!$B$6:$B$305,MATCH(SMALL(Tasks!$P$6:$P$305,7),Tasks!$P$6:$P$305,0)),"")</f>
        <v/>
      </c>
      <c r="K23" s="34">
        <f>IFERROR(IF(INDEX(Tasks!$D$6:$D$305,MATCH(SMALL(Tasks!$P$6:$P$305,7),Tasks!$P$6:$P$305,0))="","(unassigned)",INDEX(Tasks!$D$6:$D$305,MATCH(SMALL(Tasks!$P$6:$P$305,7),Tasks!$P$6:$P$305,0))),"")</f>
        <v/>
      </c>
      <c r="L23" s="34">
        <f>IFERROR(INDEX(Tasks!$E$6:$E$305,MATCH(SMALL(Tasks!$P$6:$P$305,7),Tasks!$P$6:$P$305,0)),"")</f>
        <v/>
      </c>
    </row>
    <row r="24">
      <c r="A24" s="22" t="inlineStr">
        <is>
          <t>Learning done</t>
        </is>
      </c>
      <c r="B24" s="39">
        <f>IFERROR(INDEX(Learning!$H$7:$Q$7,MATCH($B$16,Learning!$H$5:$Q$5,0)),0)</f>
        <v/>
      </c>
      <c r="G24" s="32">
        <f>IFERROR(INDEX(Tasks!$H$6:$H$305,MATCH(SMALL(Tasks!$P$6:$P$305,8),Tasks!$P$6:$P$305,0)),"")</f>
        <v/>
      </c>
      <c r="H24" s="33">
        <f>IFERROR(INDEX(Tasks!$B$6:$B$305,MATCH(SMALL(Tasks!$P$6:$P$305,8),Tasks!$P$6:$P$305,0)),"")</f>
        <v/>
      </c>
      <c r="K24" s="34">
        <f>IFERROR(IF(INDEX(Tasks!$D$6:$D$305,MATCH(SMALL(Tasks!$P$6:$P$305,8),Tasks!$P$6:$P$305,0))="","(unassigned)",INDEX(Tasks!$D$6:$D$305,MATCH(SMALL(Tasks!$P$6:$P$305,8),Tasks!$P$6:$P$305,0))),"")</f>
        <v/>
      </c>
      <c r="L24" s="34">
        <f>IFERROR(INDEX(Tasks!$E$6:$E$305,MATCH(SMALL(Tasks!$P$6:$P$305,8),Tasks!$P$6:$P$305,0)),"")</f>
        <v/>
      </c>
    </row>
    <row r="25"/>
    <row r="26"/>
    <row r="27">
      <c r="A27" s="4" t="inlineStr">
        <is>
          <t>Tasks by status</t>
        </is>
      </c>
      <c r="D27" s="4" t="inlineStr">
        <is>
          <t>Open tasks by priority</t>
        </is>
      </c>
    </row>
    <row r="28">
      <c r="A28" s="40" t="inlineStr">
        <is>
          <t>Status</t>
        </is>
      </c>
      <c r="B28" s="40" t="inlineStr">
        <is>
          <t>Tasks</t>
        </is>
      </c>
      <c r="D28" s="40" t="inlineStr">
        <is>
          <t>Priority</t>
        </is>
      </c>
      <c r="E28" s="40" t="inlineStr">
        <is>
          <t>Open</t>
        </is>
      </c>
    </row>
    <row r="29">
      <c r="A29" s="41">
        <f>INDEX(Statuses,1)</f>
        <v/>
      </c>
      <c r="B29" s="41">
        <f>COUNTIF(Tasks!$E$6:$E$305,A29)</f>
        <v/>
      </c>
      <c r="D29" s="41">
        <f>INDEX(Priorities,1)</f>
        <v/>
      </c>
      <c r="E29" s="41">
        <f>COUNTIFS(Tasks!$F$6:$F$305,D29,Tasks!$E$6:$E$305,"&lt;&gt;Done")</f>
        <v/>
      </c>
    </row>
    <row r="30">
      <c r="A30" s="41">
        <f>INDEX(Statuses,2)</f>
        <v/>
      </c>
      <c r="B30" s="41">
        <f>COUNTIF(Tasks!$E$6:$E$305,A30)</f>
        <v/>
      </c>
      <c r="D30" s="41">
        <f>INDEX(Priorities,2)</f>
        <v/>
      </c>
      <c r="E30" s="41">
        <f>COUNTIFS(Tasks!$F$6:$F$305,D30,Tasks!$E$6:$E$305,"&lt;&gt;Done")</f>
        <v/>
      </c>
    </row>
    <row r="31">
      <c r="A31" s="41">
        <f>INDEX(Statuses,3)</f>
        <v/>
      </c>
      <c r="B31" s="41">
        <f>COUNTIF(Tasks!$E$6:$E$305,A31)</f>
        <v/>
      </c>
      <c r="D31" s="41">
        <f>INDEX(Priorities,3)</f>
        <v/>
      </c>
      <c r="E31" s="41">
        <f>COUNTIFS(Tasks!$F$6:$F$305,D31,Tasks!$E$6:$E$305,"&lt;&gt;Done")</f>
        <v/>
      </c>
    </row>
    <row r="32">
      <c r="A32" s="41">
        <f>INDEX(Statuses,4)</f>
        <v/>
      </c>
      <c r="B32" s="41">
        <f>COUNTIF(Tasks!$E$6:$E$305,A32)</f>
        <v/>
      </c>
      <c r="D32" s="41">
        <f>INDEX(Priorities,4)</f>
        <v/>
      </c>
      <c r="E32" s="41">
        <f>COUNTIFS(Tasks!$F$6:$F$305,D32,Tasks!$E$6:$E$305,"&lt;&gt;Done")</f>
        <v/>
      </c>
    </row>
    <row r="33">
      <c r="A33" s="41">
        <f>INDEX(Statuses,5)</f>
        <v/>
      </c>
      <c r="B33" s="41">
        <f>COUNTIF(Tasks!$E$6:$E$305,A33)</f>
        <v/>
      </c>
    </row>
    <row r="34"/>
    <row r="35"/>
    <row r="36"/>
    <row r="37"/>
    <row r="38"/>
    <row r="39"/>
    <row r="40"/>
    <row r="41"/>
    <row r="42"/>
    <row r="43"/>
    <row r="44"/>
    <row r="45"/>
    <row r="46">
      <c r="A46" s="4" t="inlineStr">
        <is>
          <t>Team workload &amp; engagement</t>
        </is>
      </c>
      <c r="I46" s="4" t="inlineStr">
        <is>
          <t>Weekly progress (burn-up)</t>
        </is>
      </c>
    </row>
    <row r="47">
      <c r="A47" s="42" t="inlineStr">
        <is>
          <t>Member</t>
        </is>
      </c>
      <c r="B47" s="42" t="inlineStr">
        <is>
          <t>Open</t>
        </is>
      </c>
      <c r="C47" s="42" t="inlineStr">
        <is>
          <t>Done</t>
        </is>
      </c>
      <c r="D47" s="42" t="inlineStr">
        <is>
          <t>Overdue</t>
        </is>
      </c>
      <c r="E47" s="42" t="inlineStr">
        <is>
          <t>Hours open</t>
        </is>
      </c>
      <c r="F47" s="42" t="inlineStr">
        <is>
          <t>Check-ins (7d)</t>
        </is>
      </c>
      <c r="G47" s="42" t="inlineStr">
        <is>
          <t>Learning %</t>
        </is>
      </c>
      <c r="J47" s="42" t="inlineStr">
        <is>
          <t>Week of</t>
        </is>
      </c>
      <c r="K47" s="42" t="inlineStr">
        <is>
          <t>Completed</t>
        </is>
      </c>
      <c r="L47" s="42" t="inlineStr">
        <is>
          <t>Cumulative</t>
        </is>
      </c>
      <c r="M47" s="42" t="inlineStr">
        <is>
          <t>Total tasks</t>
        </is>
      </c>
    </row>
    <row r="48">
      <c r="A48" s="34">
        <f>IF(INDEX(Members,1)="","",INDEX(Members,1))</f>
        <v/>
      </c>
      <c r="B48" s="34">
        <f>IF(A48="","",COUNTIFS(Tasks!$D$6:$D$305,A48,Tasks!$E$6:$E$305,"&lt;&gt;Done"))</f>
        <v/>
      </c>
      <c r="C48" s="34">
        <f>IF(A48="","",COUNTIFS(Tasks!$D$6:$D$305,A48,Tasks!$E$6:$E$305,"Done"))</f>
        <v/>
      </c>
      <c r="D48" s="34">
        <f>IF(A48="","",COUNTIFS(Tasks!$D$6:$D$305,A48,Tasks!$M$6:$M$305,"Overdue"))</f>
        <v/>
      </c>
      <c r="E48" s="43">
        <f>IF(A48="","",SUMIFS(Tasks!$J$6:$J$305,Tasks!$D$6:$D$305,A48,Tasks!$E$6:$E$305,"&lt;&gt;Done"))</f>
        <v/>
      </c>
      <c r="F48" s="34">
        <f>IF(A48="","",COUNTIFS('Check-ins'!$B$6:$B$505,A48,'Check-ins'!$A$6:$A$505,"&gt;="&amp;(TODAY()-6)))</f>
        <v/>
      </c>
      <c r="G48" s="44">
        <f>IF(A48="","",IFERROR(INDEX(Learning!$H$7:$Q$7,MATCH(A48,Learning!$H$5:$Q$5,0)),0))</f>
        <v/>
      </c>
      <c r="J48" s="45">
        <f>INT(ProjStart)+7*0</f>
        <v/>
      </c>
      <c r="K48" s="34">
        <f>COUNTIFS(Tasks!$I$6:$I$305,"&gt;="&amp;J48,Tasks!$I$6:$I$305,"&lt;"&amp;(J48+7))</f>
        <v/>
      </c>
      <c r="L48" s="34">
        <f>IF(J48&gt;TODAY(),NA(),COUNTIFS(Tasks!$I$6:$I$305,"&lt;"&amp;(J48+7),Tasks!$E$6:$E$305,"Done"))</f>
        <v/>
      </c>
      <c r="M48" s="34">
        <f>COUNTA(Tasks!$B$6:$B$305)</f>
        <v/>
      </c>
    </row>
    <row r="49">
      <c r="A49" s="34">
        <f>IF(INDEX(Members,2)="","",INDEX(Members,2))</f>
        <v/>
      </c>
      <c r="B49" s="34">
        <f>IF(A49="","",COUNTIFS(Tasks!$D$6:$D$305,A49,Tasks!$E$6:$E$305,"&lt;&gt;Done"))</f>
        <v/>
      </c>
      <c r="C49" s="34">
        <f>IF(A49="","",COUNTIFS(Tasks!$D$6:$D$305,A49,Tasks!$E$6:$E$305,"Done"))</f>
        <v/>
      </c>
      <c r="D49" s="34">
        <f>IF(A49="","",COUNTIFS(Tasks!$D$6:$D$305,A49,Tasks!$M$6:$M$305,"Overdue"))</f>
        <v/>
      </c>
      <c r="E49" s="43">
        <f>IF(A49="","",SUMIFS(Tasks!$J$6:$J$305,Tasks!$D$6:$D$305,A49,Tasks!$E$6:$E$305,"&lt;&gt;Done"))</f>
        <v/>
      </c>
      <c r="F49" s="34">
        <f>IF(A49="","",COUNTIFS('Check-ins'!$B$6:$B$505,A49,'Check-ins'!$A$6:$A$505,"&gt;="&amp;(TODAY()-6)))</f>
        <v/>
      </c>
      <c r="G49" s="44">
        <f>IF(A49="","",IFERROR(INDEX(Learning!$H$7:$Q$7,MATCH(A49,Learning!$H$5:$Q$5,0)),0))</f>
        <v/>
      </c>
      <c r="J49" s="45">
        <f>INT(ProjStart)+7*1</f>
        <v/>
      </c>
      <c r="K49" s="34">
        <f>COUNTIFS(Tasks!$I$6:$I$305,"&gt;="&amp;J49,Tasks!$I$6:$I$305,"&lt;"&amp;(J49+7))</f>
        <v/>
      </c>
      <c r="L49" s="34">
        <f>IF(J49&gt;TODAY(),NA(),COUNTIFS(Tasks!$I$6:$I$305,"&lt;"&amp;(J49+7),Tasks!$E$6:$E$305,"Done"))</f>
        <v/>
      </c>
      <c r="M49" s="34">
        <f>COUNTA(Tasks!$B$6:$B$305)</f>
        <v/>
      </c>
    </row>
    <row r="50">
      <c r="A50" s="34">
        <f>IF(INDEX(Members,3)="","",INDEX(Members,3))</f>
        <v/>
      </c>
      <c r="B50" s="34">
        <f>IF(A50="","",COUNTIFS(Tasks!$D$6:$D$305,A50,Tasks!$E$6:$E$305,"&lt;&gt;Done"))</f>
        <v/>
      </c>
      <c r="C50" s="34">
        <f>IF(A50="","",COUNTIFS(Tasks!$D$6:$D$305,A50,Tasks!$E$6:$E$305,"Done"))</f>
        <v/>
      </c>
      <c r="D50" s="34">
        <f>IF(A50="","",COUNTIFS(Tasks!$D$6:$D$305,A50,Tasks!$M$6:$M$305,"Overdue"))</f>
        <v/>
      </c>
      <c r="E50" s="43">
        <f>IF(A50="","",SUMIFS(Tasks!$J$6:$J$305,Tasks!$D$6:$D$305,A50,Tasks!$E$6:$E$305,"&lt;&gt;Done"))</f>
        <v/>
      </c>
      <c r="F50" s="34">
        <f>IF(A50="","",COUNTIFS('Check-ins'!$B$6:$B$505,A50,'Check-ins'!$A$6:$A$505,"&gt;="&amp;(TODAY()-6)))</f>
        <v/>
      </c>
      <c r="G50" s="44">
        <f>IF(A50="","",IFERROR(INDEX(Learning!$H$7:$Q$7,MATCH(A50,Learning!$H$5:$Q$5,0)),0))</f>
        <v/>
      </c>
      <c r="J50" s="45">
        <f>INT(ProjStart)+7*2</f>
        <v/>
      </c>
      <c r="K50" s="34">
        <f>COUNTIFS(Tasks!$I$6:$I$305,"&gt;="&amp;J50,Tasks!$I$6:$I$305,"&lt;"&amp;(J50+7))</f>
        <v/>
      </c>
      <c r="L50" s="34">
        <f>IF(J50&gt;TODAY(),NA(),COUNTIFS(Tasks!$I$6:$I$305,"&lt;"&amp;(J50+7),Tasks!$E$6:$E$305,"Done"))</f>
        <v/>
      </c>
      <c r="M50" s="34">
        <f>COUNTA(Tasks!$B$6:$B$305)</f>
        <v/>
      </c>
    </row>
    <row r="51">
      <c r="A51" s="34">
        <f>IF(INDEX(Members,4)="","",INDEX(Members,4))</f>
        <v/>
      </c>
      <c r="B51" s="34">
        <f>IF(A51="","",COUNTIFS(Tasks!$D$6:$D$305,A51,Tasks!$E$6:$E$305,"&lt;&gt;Done"))</f>
        <v/>
      </c>
      <c r="C51" s="34">
        <f>IF(A51="","",COUNTIFS(Tasks!$D$6:$D$305,A51,Tasks!$E$6:$E$305,"Done"))</f>
        <v/>
      </c>
      <c r="D51" s="34">
        <f>IF(A51="","",COUNTIFS(Tasks!$D$6:$D$305,A51,Tasks!$M$6:$M$305,"Overdue"))</f>
        <v/>
      </c>
      <c r="E51" s="43">
        <f>IF(A51="","",SUMIFS(Tasks!$J$6:$J$305,Tasks!$D$6:$D$305,A51,Tasks!$E$6:$E$305,"&lt;&gt;Done"))</f>
        <v/>
      </c>
      <c r="F51" s="34">
        <f>IF(A51="","",COUNTIFS('Check-ins'!$B$6:$B$505,A51,'Check-ins'!$A$6:$A$505,"&gt;="&amp;(TODAY()-6)))</f>
        <v/>
      </c>
      <c r="G51" s="44">
        <f>IF(A51="","",IFERROR(INDEX(Learning!$H$7:$Q$7,MATCH(A51,Learning!$H$5:$Q$5,0)),0))</f>
        <v/>
      </c>
      <c r="J51" s="45">
        <f>INT(ProjStart)+7*3</f>
        <v/>
      </c>
      <c r="K51" s="34">
        <f>COUNTIFS(Tasks!$I$6:$I$305,"&gt;="&amp;J51,Tasks!$I$6:$I$305,"&lt;"&amp;(J51+7))</f>
        <v/>
      </c>
      <c r="L51" s="34">
        <f>IF(J51&gt;TODAY(),NA(),COUNTIFS(Tasks!$I$6:$I$305,"&lt;"&amp;(J51+7),Tasks!$E$6:$E$305,"Done"))</f>
        <v/>
      </c>
      <c r="M51" s="34">
        <f>COUNTA(Tasks!$B$6:$B$305)</f>
        <v/>
      </c>
    </row>
    <row r="52">
      <c r="A52" s="34">
        <f>IF(INDEX(Members,5)="","",INDEX(Members,5))</f>
        <v/>
      </c>
      <c r="B52" s="34">
        <f>IF(A52="","",COUNTIFS(Tasks!$D$6:$D$305,A52,Tasks!$E$6:$E$305,"&lt;&gt;Done"))</f>
        <v/>
      </c>
      <c r="C52" s="34">
        <f>IF(A52="","",COUNTIFS(Tasks!$D$6:$D$305,A52,Tasks!$E$6:$E$305,"Done"))</f>
        <v/>
      </c>
      <c r="D52" s="34">
        <f>IF(A52="","",COUNTIFS(Tasks!$D$6:$D$305,A52,Tasks!$M$6:$M$305,"Overdue"))</f>
        <v/>
      </c>
      <c r="E52" s="43">
        <f>IF(A52="","",SUMIFS(Tasks!$J$6:$J$305,Tasks!$D$6:$D$305,A52,Tasks!$E$6:$E$305,"&lt;&gt;Done"))</f>
        <v/>
      </c>
      <c r="F52" s="34">
        <f>IF(A52="","",COUNTIFS('Check-ins'!$B$6:$B$505,A52,'Check-ins'!$A$6:$A$505,"&gt;="&amp;(TODAY()-6)))</f>
        <v/>
      </c>
      <c r="G52" s="44">
        <f>IF(A52="","",IFERROR(INDEX(Learning!$H$7:$Q$7,MATCH(A52,Learning!$H$5:$Q$5,0)),0))</f>
        <v/>
      </c>
      <c r="J52" s="45">
        <f>INT(ProjStart)+7*4</f>
        <v/>
      </c>
      <c r="K52" s="34">
        <f>COUNTIFS(Tasks!$I$6:$I$305,"&gt;="&amp;J52,Tasks!$I$6:$I$305,"&lt;"&amp;(J52+7))</f>
        <v/>
      </c>
      <c r="L52" s="34">
        <f>IF(J52&gt;TODAY(),NA(),COUNTIFS(Tasks!$I$6:$I$305,"&lt;"&amp;(J52+7),Tasks!$E$6:$E$305,"Done"))</f>
        <v/>
      </c>
      <c r="M52" s="34">
        <f>COUNTA(Tasks!$B$6:$B$305)</f>
        <v/>
      </c>
    </row>
    <row r="53">
      <c r="A53" s="34">
        <f>IF(INDEX(Members,6)="","",INDEX(Members,6))</f>
        <v/>
      </c>
      <c r="B53" s="34">
        <f>IF(A53="","",COUNTIFS(Tasks!$D$6:$D$305,A53,Tasks!$E$6:$E$305,"&lt;&gt;Done"))</f>
        <v/>
      </c>
      <c r="C53" s="34">
        <f>IF(A53="","",COUNTIFS(Tasks!$D$6:$D$305,A53,Tasks!$E$6:$E$305,"Done"))</f>
        <v/>
      </c>
      <c r="D53" s="34">
        <f>IF(A53="","",COUNTIFS(Tasks!$D$6:$D$305,A53,Tasks!$M$6:$M$305,"Overdue"))</f>
        <v/>
      </c>
      <c r="E53" s="43">
        <f>IF(A53="","",SUMIFS(Tasks!$J$6:$J$305,Tasks!$D$6:$D$305,A53,Tasks!$E$6:$E$305,"&lt;&gt;Done"))</f>
        <v/>
      </c>
      <c r="F53" s="34">
        <f>IF(A53="","",COUNTIFS('Check-ins'!$B$6:$B$505,A53,'Check-ins'!$A$6:$A$505,"&gt;="&amp;(TODAY()-6)))</f>
        <v/>
      </c>
      <c r="G53" s="44">
        <f>IF(A53="","",IFERROR(INDEX(Learning!$H$7:$Q$7,MATCH(A53,Learning!$H$5:$Q$5,0)),0))</f>
        <v/>
      </c>
      <c r="J53" s="45">
        <f>INT(ProjStart)+7*5</f>
        <v/>
      </c>
      <c r="K53" s="34">
        <f>COUNTIFS(Tasks!$I$6:$I$305,"&gt;="&amp;J53,Tasks!$I$6:$I$305,"&lt;"&amp;(J53+7))</f>
        <v/>
      </c>
      <c r="L53" s="34">
        <f>IF(J53&gt;TODAY(),NA(),COUNTIFS(Tasks!$I$6:$I$305,"&lt;"&amp;(J53+7),Tasks!$E$6:$E$305,"Done"))</f>
        <v/>
      </c>
      <c r="M53" s="34">
        <f>COUNTA(Tasks!$B$6:$B$305)</f>
        <v/>
      </c>
    </row>
    <row r="54">
      <c r="A54" s="34">
        <f>IF(INDEX(Members,7)="","",INDEX(Members,7))</f>
        <v/>
      </c>
      <c r="B54" s="34">
        <f>IF(A54="","",COUNTIFS(Tasks!$D$6:$D$305,A54,Tasks!$E$6:$E$305,"&lt;&gt;Done"))</f>
        <v/>
      </c>
      <c r="C54" s="34">
        <f>IF(A54="","",COUNTIFS(Tasks!$D$6:$D$305,A54,Tasks!$E$6:$E$305,"Done"))</f>
        <v/>
      </c>
      <c r="D54" s="34">
        <f>IF(A54="","",COUNTIFS(Tasks!$D$6:$D$305,A54,Tasks!$M$6:$M$305,"Overdue"))</f>
        <v/>
      </c>
      <c r="E54" s="43">
        <f>IF(A54="","",SUMIFS(Tasks!$J$6:$J$305,Tasks!$D$6:$D$305,A54,Tasks!$E$6:$E$305,"&lt;&gt;Done"))</f>
        <v/>
      </c>
      <c r="F54" s="34">
        <f>IF(A54="","",COUNTIFS('Check-ins'!$B$6:$B$505,A54,'Check-ins'!$A$6:$A$505,"&gt;="&amp;(TODAY()-6)))</f>
        <v/>
      </c>
      <c r="G54" s="44">
        <f>IF(A54="","",IFERROR(INDEX(Learning!$H$7:$Q$7,MATCH(A54,Learning!$H$5:$Q$5,0)),0))</f>
        <v/>
      </c>
      <c r="J54" s="45">
        <f>INT(ProjStart)+7*6</f>
        <v/>
      </c>
      <c r="K54" s="34">
        <f>COUNTIFS(Tasks!$I$6:$I$305,"&gt;="&amp;J54,Tasks!$I$6:$I$305,"&lt;"&amp;(J54+7))</f>
        <v/>
      </c>
      <c r="L54" s="34">
        <f>IF(J54&gt;TODAY(),NA(),COUNTIFS(Tasks!$I$6:$I$305,"&lt;"&amp;(J54+7),Tasks!$E$6:$E$305,"Done"))</f>
        <v/>
      </c>
      <c r="M54" s="34">
        <f>COUNTA(Tasks!$B$6:$B$305)</f>
        <v/>
      </c>
    </row>
    <row r="55">
      <c r="A55" s="34">
        <f>IF(INDEX(Members,8)="","",INDEX(Members,8))</f>
        <v/>
      </c>
      <c r="B55" s="34">
        <f>IF(A55="","",COUNTIFS(Tasks!$D$6:$D$305,A55,Tasks!$E$6:$E$305,"&lt;&gt;Done"))</f>
        <v/>
      </c>
      <c r="C55" s="34">
        <f>IF(A55="","",COUNTIFS(Tasks!$D$6:$D$305,A55,Tasks!$E$6:$E$305,"Done"))</f>
        <v/>
      </c>
      <c r="D55" s="34">
        <f>IF(A55="","",COUNTIFS(Tasks!$D$6:$D$305,A55,Tasks!$M$6:$M$305,"Overdue"))</f>
        <v/>
      </c>
      <c r="E55" s="43">
        <f>IF(A55="","",SUMIFS(Tasks!$J$6:$J$305,Tasks!$D$6:$D$305,A55,Tasks!$E$6:$E$305,"&lt;&gt;Done"))</f>
        <v/>
      </c>
      <c r="F55" s="34">
        <f>IF(A55="","",COUNTIFS('Check-ins'!$B$6:$B$505,A55,'Check-ins'!$A$6:$A$505,"&gt;="&amp;(TODAY()-6)))</f>
        <v/>
      </c>
      <c r="G55" s="44">
        <f>IF(A55="","",IFERROR(INDEX(Learning!$H$7:$Q$7,MATCH(A55,Learning!$H$5:$Q$5,0)),0))</f>
        <v/>
      </c>
      <c r="J55" s="45">
        <f>INT(ProjStart)+7*7</f>
        <v/>
      </c>
      <c r="K55" s="34">
        <f>COUNTIFS(Tasks!$I$6:$I$305,"&gt;="&amp;J55,Tasks!$I$6:$I$305,"&lt;"&amp;(J55+7))</f>
        <v/>
      </c>
      <c r="L55" s="34">
        <f>IF(J55&gt;TODAY(),NA(),COUNTIFS(Tasks!$I$6:$I$305,"&lt;"&amp;(J55+7),Tasks!$E$6:$E$305,"Done"))</f>
        <v/>
      </c>
      <c r="M55" s="34">
        <f>COUNTA(Tasks!$B$6:$B$305)</f>
        <v/>
      </c>
    </row>
    <row r="56">
      <c r="A56" s="34">
        <f>IF(INDEX(Members,9)="","",INDEX(Members,9))</f>
        <v/>
      </c>
      <c r="B56" s="34">
        <f>IF(A56="","",COUNTIFS(Tasks!$D$6:$D$305,A56,Tasks!$E$6:$E$305,"&lt;&gt;Done"))</f>
        <v/>
      </c>
      <c r="C56" s="34">
        <f>IF(A56="","",COUNTIFS(Tasks!$D$6:$D$305,A56,Tasks!$E$6:$E$305,"Done"))</f>
        <v/>
      </c>
      <c r="D56" s="34">
        <f>IF(A56="","",COUNTIFS(Tasks!$D$6:$D$305,A56,Tasks!$M$6:$M$305,"Overdue"))</f>
        <v/>
      </c>
      <c r="E56" s="43">
        <f>IF(A56="","",SUMIFS(Tasks!$J$6:$J$305,Tasks!$D$6:$D$305,A56,Tasks!$E$6:$E$305,"&lt;&gt;Done"))</f>
        <v/>
      </c>
      <c r="F56" s="34">
        <f>IF(A56="","",COUNTIFS('Check-ins'!$B$6:$B$505,A56,'Check-ins'!$A$6:$A$505,"&gt;="&amp;(TODAY()-6)))</f>
        <v/>
      </c>
      <c r="G56" s="44">
        <f>IF(A56="","",IFERROR(INDEX(Learning!$H$7:$Q$7,MATCH(A56,Learning!$H$5:$Q$5,0)),0))</f>
        <v/>
      </c>
      <c r="J56" s="45">
        <f>INT(ProjStart)+7*8</f>
        <v/>
      </c>
      <c r="K56" s="34">
        <f>COUNTIFS(Tasks!$I$6:$I$305,"&gt;="&amp;J56,Tasks!$I$6:$I$305,"&lt;"&amp;(J56+7))</f>
        <v/>
      </c>
      <c r="L56" s="34">
        <f>IF(J56&gt;TODAY(),NA(),COUNTIFS(Tasks!$I$6:$I$305,"&lt;"&amp;(J56+7),Tasks!$E$6:$E$305,"Done"))</f>
        <v/>
      </c>
      <c r="M56" s="34">
        <f>COUNTA(Tasks!$B$6:$B$305)</f>
        <v/>
      </c>
    </row>
    <row r="57">
      <c r="A57" s="34">
        <f>IF(INDEX(Members,10)="","",INDEX(Members,10))</f>
        <v/>
      </c>
      <c r="B57" s="34">
        <f>IF(A57="","",COUNTIFS(Tasks!$D$6:$D$305,A57,Tasks!$E$6:$E$305,"&lt;&gt;Done"))</f>
        <v/>
      </c>
      <c r="C57" s="34">
        <f>IF(A57="","",COUNTIFS(Tasks!$D$6:$D$305,A57,Tasks!$E$6:$E$305,"Done"))</f>
        <v/>
      </c>
      <c r="D57" s="34">
        <f>IF(A57="","",COUNTIFS(Tasks!$D$6:$D$305,A57,Tasks!$M$6:$M$305,"Overdue"))</f>
        <v/>
      </c>
      <c r="E57" s="43">
        <f>IF(A57="","",SUMIFS(Tasks!$J$6:$J$305,Tasks!$D$6:$D$305,A57,Tasks!$E$6:$E$305,"&lt;&gt;Done"))</f>
        <v/>
      </c>
      <c r="F57" s="34">
        <f>IF(A57="","",COUNTIFS('Check-ins'!$B$6:$B$505,A57,'Check-ins'!$A$6:$A$505,"&gt;="&amp;(TODAY()-6)))</f>
        <v/>
      </c>
      <c r="G57" s="44">
        <f>IF(A57="","",IFERROR(INDEX(Learning!$H$7:$Q$7,MATCH(A57,Learning!$H$5:$Q$5,0)),0))</f>
        <v/>
      </c>
      <c r="J57" s="45">
        <f>INT(ProjStart)+7*9</f>
        <v/>
      </c>
      <c r="K57" s="34">
        <f>COUNTIFS(Tasks!$I$6:$I$305,"&gt;="&amp;J57,Tasks!$I$6:$I$305,"&lt;"&amp;(J57+7))</f>
        <v/>
      </c>
      <c r="L57" s="34">
        <f>IF(J57&gt;TODAY(),NA(),COUNTIFS(Tasks!$I$6:$I$305,"&lt;"&amp;(J57+7),Tasks!$E$6:$E$305,"Done"))</f>
        <v/>
      </c>
      <c r="M57" s="34">
        <f>COUNTA(Tasks!$B$6:$B$305)</f>
        <v/>
      </c>
    </row>
    <row r="58">
      <c r="J58" s="45">
        <f>INT(ProjStart)+7*10</f>
        <v/>
      </c>
      <c r="K58" s="34">
        <f>COUNTIFS(Tasks!$I$6:$I$305,"&gt;="&amp;J58,Tasks!$I$6:$I$305,"&lt;"&amp;(J58+7))</f>
        <v/>
      </c>
      <c r="L58" s="34">
        <f>IF(J58&gt;TODAY(),NA(),COUNTIFS(Tasks!$I$6:$I$305,"&lt;"&amp;(J58+7),Tasks!$E$6:$E$305,"Done"))</f>
        <v/>
      </c>
      <c r="M58" s="34">
        <f>COUNTA(Tasks!$B$6:$B$305)</f>
        <v/>
      </c>
    </row>
    <row r="59">
      <c r="J59" s="45">
        <f>INT(ProjStart)+7*11</f>
        <v/>
      </c>
      <c r="K59" s="34">
        <f>COUNTIFS(Tasks!$I$6:$I$305,"&gt;="&amp;J59,Tasks!$I$6:$I$305,"&lt;"&amp;(J59+7))</f>
        <v/>
      </c>
      <c r="L59" s="34">
        <f>IF(J59&gt;TODAY(),NA(),COUNTIFS(Tasks!$I$6:$I$305,"&lt;"&amp;(J59+7),Tasks!$E$6:$E$305,"Done"))</f>
        <v/>
      </c>
      <c r="M59" s="34">
        <f>COUNTA(Tasks!$B$6:$B$305)</f>
        <v/>
      </c>
    </row>
    <row r="60">
      <c r="J60" s="45">
        <f>INT(ProjStart)+7*12</f>
        <v/>
      </c>
      <c r="K60" s="34">
        <f>COUNTIFS(Tasks!$I$6:$I$305,"&gt;="&amp;J60,Tasks!$I$6:$I$305,"&lt;"&amp;(J60+7))</f>
        <v/>
      </c>
      <c r="L60" s="34">
        <f>IF(J60&gt;TODAY(),NA(),COUNTIFS(Tasks!$I$6:$I$305,"&lt;"&amp;(J60+7),Tasks!$E$6:$E$305,"Done"))</f>
        <v/>
      </c>
      <c r="M60" s="34">
        <f>COUNTA(Tasks!$B$6:$B$305)</f>
        <v/>
      </c>
    </row>
    <row r="61">
      <c r="J61" s="45">
        <f>INT(ProjStart)+7*13</f>
        <v/>
      </c>
      <c r="K61" s="34">
        <f>COUNTIFS(Tasks!$I$6:$I$305,"&gt;="&amp;J61,Tasks!$I$6:$I$305,"&lt;"&amp;(J61+7))</f>
        <v/>
      </c>
      <c r="L61" s="34">
        <f>IF(J61&gt;TODAY(),NA(),COUNTIFS(Tasks!$I$6:$I$305,"&lt;"&amp;(J61+7),Tasks!$E$6:$E$305,"Done"))</f>
        <v/>
      </c>
      <c r="M61" s="34">
        <f>COUNTA(Tasks!$B$6:$B$305)</f>
        <v/>
      </c>
    </row>
    <row r="62">
      <c r="J62" s="45">
        <f>INT(ProjStart)+7*14</f>
        <v/>
      </c>
      <c r="K62" s="34">
        <f>COUNTIFS(Tasks!$I$6:$I$305,"&gt;="&amp;J62,Tasks!$I$6:$I$305,"&lt;"&amp;(J62+7))</f>
        <v/>
      </c>
      <c r="L62" s="34">
        <f>IF(J62&gt;TODAY(),NA(),COUNTIFS(Tasks!$I$6:$I$305,"&lt;"&amp;(J62+7),Tasks!$E$6:$E$305,"Done"))</f>
        <v/>
      </c>
      <c r="M62" s="34">
        <f>COUNTA(Tasks!$B$6:$B$305)</f>
        <v/>
      </c>
    </row>
    <row r="63">
      <c r="J63" s="45">
        <f>INT(ProjStart)+7*15</f>
        <v/>
      </c>
      <c r="K63" s="34">
        <f>COUNTIFS(Tasks!$I$6:$I$305,"&gt;="&amp;J63,Tasks!$I$6:$I$305,"&lt;"&amp;(J63+7))</f>
        <v/>
      </c>
      <c r="L63" s="34">
        <f>IF(J63&gt;TODAY(),NA(),COUNTIFS(Tasks!$I$6:$I$305,"&lt;"&amp;(J63+7),Tasks!$E$6:$E$305,"Done"))</f>
        <v/>
      </c>
      <c r="M63" s="34">
        <f>COUNTA(Tasks!$B$6:$B$305)</f>
        <v/>
      </c>
    </row>
    <row r="64">
      <c r="J64" s="46" t="inlineStr">
        <is>
          <t>#N/A hides future weeks in the chart.</t>
        </is>
      </c>
    </row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0">
    <mergeCell ref="D12:H13"/>
    <mergeCell ref="B24:E24"/>
    <mergeCell ref="B20:E20"/>
    <mergeCell ref="H17:J17"/>
    <mergeCell ref="H16:J16"/>
    <mergeCell ref="J12:N13"/>
    <mergeCell ref="H22:J22"/>
    <mergeCell ref="H19:J19"/>
    <mergeCell ref="B16:E16"/>
    <mergeCell ref="B22:E22"/>
    <mergeCell ref="B18:E18"/>
    <mergeCell ref="H24:J24"/>
    <mergeCell ref="H18:J18"/>
    <mergeCell ref="H23:J23"/>
    <mergeCell ref="B21:E21"/>
    <mergeCell ref="H20:J20"/>
    <mergeCell ref="B17:E17"/>
    <mergeCell ref="B23:E23"/>
    <mergeCell ref="B19:E19"/>
    <mergeCell ref="H21:J21"/>
  </mergeCells>
  <conditionalFormatting sqref="A9">
    <cfRule type="cellIs" priority="1" operator="equal" dxfId="0">
      <formula>0</formula>
    </cfRule>
  </conditionalFormatting>
  <conditionalFormatting sqref="G9">
    <cfRule type="cellIs" priority="2" operator="equal" dxfId="0">
      <formula>0</formula>
    </cfRule>
  </conditionalFormatting>
  <conditionalFormatting sqref="M9">
    <cfRule type="cellIs" priority="3" operator="equal" dxfId="0">
      <formula>0</formula>
    </cfRule>
  </conditionalFormatting>
  <conditionalFormatting sqref="B12:B13">
    <cfRule type="dataBar" priority="4">
      <dataBar>
        <cfvo type="num" val="0"/>
        <cfvo type="num" val="1"/>
        <color rgb="002E90FA"/>
      </dataBar>
    </cfRule>
  </conditionalFormatting>
  <conditionalFormatting sqref="D12">
    <cfRule type="cellIs" priority="5" operator="equal" dxfId="1">
      <formula>"AT RISK"</formula>
    </cfRule>
    <cfRule type="cellIs" priority="6" operator="equal" dxfId="2">
      <formula>"BEHIND SCHEDULE"</formula>
    </cfRule>
    <cfRule type="cellIs" priority="7" operator="equal" dxfId="3">
      <formula>"ON TRACK"</formula>
    </cfRule>
  </conditionalFormatting>
  <conditionalFormatting sqref="B19">
    <cfRule type="cellIs" priority="8" operator="greaterThan" dxfId="4">
      <formula>0</formula>
    </cfRule>
  </conditionalFormatting>
  <conditionalFormatting sqref="G17:G24">
    <cfRule type="expression" priority="9" dxfId="5">
      <formula>AND(G17&lt;&gt;"",G17&lt;NOW())</formula>
    </cfRule>
  </conditionalFormatting>
  <conditionalFormatting sqref="L17:L24">
    <cfRule type="cellIs" priority="10" operator="equal" dxfId="6">
      <formula>"Not started"</formula>
    </cfRule>
    <cfRule type="cellIs" priority="11" operator="equal" dxfId="7">
      <formula>"In progress"</formula>
    </cfRule>
    <cfRule type="cellIs" priority="12" operator="equal" dxfId="8">
      <formula>"In review"</formula>
    </cfRule>
    <cfRule type="cellIs" priority="13" operator="equal" dxfId="9">
      <formula>"Blocked"</formula>
    </cfRule>
    <cfRule type="cellIs" priority="14" operator="equal" dxfId="10">
      <formula>"Done"</formula>
    </cfRule>
  </conditionalFormatting>
  <conditionalFormatting sqref="D48:D57">
    <cfRule type="cellIs" priority="15" operator="greaterThan" dxfId="11">
      <formula>0</formula>
    </cfRule>
  </conditionalFormatting>
  <conditionalFormatting sqref="G48:G57">
    <cfRule type="dataBar" priority="16">
      <dataBar>
        <cfvo type="num" val="0"/>
        <cfvo type="num" val="1"/>
        <color rgb="002E90FA"/>
      </dataBar>
    </cfRule>
  </conditionalFormatting>
  <conditionalFormatting sqref="B48:B57">
    <cfRule type="dataBar" priority="17">
      <dataBar>
        <cfvo type="min"/>
        <cfvo type="max"/>
        <color rgb="00FDB022"/>
      </dataBar>
    </cfRule>
  </conditionalFormatting>
  <dataValidations count="1">
    <dataValidation sqref="B16" showDropDown="0" showInputMessage="1" showErrorMessage="1" allowBlank="1" errorTitle="Not in the list" error="Pick a value from the drop-down (lists are on the Settings sheet)." promptTitle="Tip" prompt="Pick anyone to see their workload." type="list">
      <formula1>=Members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667085"/>
    <outlinePr summaryBelow="1" summaryRight="1"/>
    <pageSetUpPr fitToPage="1"/>
  </sheetPr>
  <dimension ref="A1:K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22" customWidth="1" min="4" max="4"/>
    <col width="3" customWidth="1" min="5" max="5"/>
    <col width="14" customWidth="1" min="6" max="6"/>
    <col width="12" customWidth="1" min="7" max="7"/>
    <col width="16" customWidth="1" min="8" max="8"/>
    <col width="14" customWidth="1" min="9" max="9"/>
    <col width="16" customWidth="1" min="10" max="10"/>
    <col width="12" customWidth="1" min="11" max="11"/>
  </cols>
  <sheetData>
    <row r="1" ht="30" customHeight="1">
      <c r="A1" s="47" t="inlineStr">
        <is>
          <t>Settings</t>
        </is>
      </c>
    </row>
    <row r="2">
      <c r="A2" s="3" t="inlineStr">
        <is>
          <t>Set up your project here first. Everything else reads from this sheet.</t>
        </is>
      </c>
    </row>
    <row r="3">
      <c r="A3" s="48" t="inlineStr">
        <is>
          <t>← Back to Start Here</t>
        </is>
      </c>
    </row>
    <row r="5">
      <c r="A5" s="4" t="inlineStr">
        <is>
          <t>Project details</t>
        </is>
      </c>
      <c r="F5" s="4" t="inlineStr">
        <is>
          <t>Drop-down lists (edit to customise)</t>
        </is>
      </c>
    </row>
    <row r="6" ht="32" customHeight="1">
      <c r="A6" s="26" t="inlineStr">
        <is>
          <t>Project name</t>
        </is>
      </c>
      <c r="B6" s="49" t="inlineStr">
        <is>
          <t>My Project</t>
        </is>
      </c>
      <c r="F6" s="50" t="inlineStr">
        <is>
          <t>Task status</t>
        </is>
      </c>
      <c r="G6" s="50" t="inlineStr">
        <is>
          <t>Priority</t>
        </is>
      </c>
      <c r="H6" s="50" t="inlineStr">
        <is>
          <t>Progress</t>
        </is>
      </c>
      <c r="I6" s="50" t="inlineStr">
        <is>
          <t>Learning</t>
        </is>
      </c>
      <c r="J6" s="50" t="inlineStr">
        <is>
          <t>Risk status</t>
        </is>
      </c>
      <c r="K6" s="50" t="inlineStr">
        <is>
          <t>Mood</t>
        </is>
      </c>
    </row>
    <row r="7">
      <c r="A7" s="26" t="inlineStr">
        <is>
          <t>Project lead</t>
        </is>
      </c>
      <c r="B7" s="49" t="inlineStr">
        <is>
          <t>Your name</t>
        </is>
      </c>
      <c r="F7" s="51" t="inlineStr">
        <is>
          <t>Not started</t>
        </is>
      </c>
      <c r="G7" s="51" t="inlineStr">
        <is>
          <t>Critical</t>
        </is>
      </c>
      <c r="H7" s="52" t="n">
        <v>0</v>
      </c>
      <c r="I7" s="51" t="inlineStr">
        <is>
          <t>Not started</t>
        </is>
      </c>
      <c r="J7" s="51" t="inlineStr">
        <is>
          <t>Open</t>
        </is>
      </c>
      <c r="K7" s="51" t="inlineStr">
        <is>
          <t>Great</t>
        </is>
      </c>
    </row>
    <row r="8">
      <c r="A8" s="26" t="inlineStr">
        <is>
          <t>Start date</t>
        </is>
      </c>
      <c r="B8" s="53" t="n">
        <v>46304</v>
      </c>
      <c r="F8" s="51" t="inlineStr">
        <is>
          <t>In progress</t>
        </is>
      </c>
      <c r="G8" s="51" t="inlineStr">
        <is>
          <t>High</t>
        </is>
      </c>
      <c r="H8" s="52" t="n">
        <v>0.25</v>
      </c>
      <c r="I8" s="51" t="inlineStr">
        <is>
          <t>In progress</t>
        </is>
      </c>
      <c r="J8" s="51" t="inlineStr">
        <is>
          <t>Monitoring</t>
        </is>
      </c>
      <c r="K8" s="51" t="inlineStr">
        <is>
          <t>Good</t>
        </is>
      </c>
    </row>
    <row r="9">
      <c r="A9" s="26" t="inlineStr">
        <is>
          <t>End date / final deadline</t>
        </is>
      </c>
      <c r="B9" s="54" t="n">
        <v>46360.70833333334</v>
      </c>
      <c r="F9" s="51" t="inlineStr">
        <is>
          <t>In review</t>
        </is>
      </c>
      <c r="G9" s="51" t="inlineStr">
        <is>
          <t>Medium</t>
        </is>
      </c>
      <c r="H9" s="52" t="n">
        <v>0.5</v>
      </c>
      <c r="I9" s="51" t="inlineStr">
        <is>
          <t>Done</t>
        </is>
      </c>
      <c r="J9" s="51" t="inlineStr">
        <is>
          <t>Closed</t>
        </is>
      </c>
      <c r="K9" s="51" t="inlineStr">
        <is>
          <t>OK</t>
        </is>
      </c>
    </row>
    <row r="10">
      <c r="A10" s="26" t="inlineStr">
        <is>
          <t>Time zone shown in dates</t>
        </is>
      </c>
      <c r="B10" s="49" t="inlineStr">
        <is>
          <t>Local time</t>
        </is>
      </c>
      <c r="F10" s="51" t="inlineStr">
        <is>
          <t>Blocked</t>
        </is>
      </c>
      <c r="G10" s="51" t="inlineStr">
        <is>
          <t>Low</t>
        </is>
      </c>
      <c r="H10" s="52" t="n">
        <v>0.75</v>
      </c>
      <c r="I10" s="51" t="n"/>
      <c r="J10" s="51" t="n"/>
      <c r="K10" s="51" t="inlineStr">
        <is>
          <t>Struggling</t>
        </is>
      </c>
    </row>
    <row r="11" ht="45" customHeight="1">
      <c r="A11" s="26" t="inlineStr">
        <is>
          <t>Description</t>
        </is>
      </c>
      <c r="B11" s="55" t="inlineStr">
        <is>
          <t>One or two sentences on what this project delivers and for whom.</t>
        </is>
      </c>
      <c r="F11" s="51" t="inlineStr">
        <is>
          <t>Done</t>
        </is>
      </c>
      <c r="G11" s="51" t="n"/>
      <c r="H11" s="52" t="n">
        <v>1</v>
      </c>
      <c r="I11" s="51" t="n"/>
      <c r="J11" s="51" t="n"/>
      <c r="K11" s="51" t="n"/>
    </row>
    <row r="12">
      <c r="F12" s="51" t="n"/>
      <c r="G12" s="51" t="n"/>
      <c r="H12" s="52" t="n"/>
      <c r="I12" s="51" t="n"/>
      <c r="J12" s="51" t="n"/>
      <c r="K12" s="51" t="n"/>
    </row>
    <row r="13">
      <c r="F13" s="51" t="n"/>
      <c r="G13" s="51" t="n"/>
      <c r="H13" s="52" t="n"/>
      <c r="I13" s="51" t="n"/>
      <c r="J13" s="51" t="n"/>
      <c r="K13" s="51" t="n"/>
    </row>
    <row r="14">
      <c r="A14" s="4" t="inlineStr">
        <is>
          <t>Team members</t>
        </is>
      </c>
      <c r="F14" s="51" t="n"/>
      <c r="G14" s="51" t="n"/>
      <c r="H14" s="52" t="n"/>
      <c r="I14" s="51" t="n"/>
      <c r="J14" s="51" t="n"/>
      <c r="K14" s="51" t="n"/>
    </row>
    <row r="15" ht="32" customHeight="1">
      <c r="A15" s="50" t="inlineStr">
        <is>
          <t>Name</t>
        </is>
      </c>
      <c r="B15" s="50" t="inlineStr">
        <is>
          <t>Role</t>
        </is>
      </c>
      <c r="C15" s="50" t="inlineStr">
        <is>
          <t>Email / contact</t>
        </is>
      </c>
      <c r="D15" s="50" t="inlineStr">
        <is>
          <t>GitHub / handle</t>
        </is>
      </c>
      <c r="F15" s="51" t="n"/>
      <c r="G15" s="51" t="n"/>
      <c r="H15" s="52" t="n"/>
      <c r="I15" s="51" t="n"/>
      <c r="J15" s="51" t="n"/>
      <c r="K15" s="51" t="n"/>
    </row>
    <row r="16">
      <c r="A16" s="56" t="inlineStr">
        <is>
          <t>Alex (example)</t>
        </is>
      </c>
      <c r="B16" s="56" t="inlineStr">
        <is>
          <t>Lead</t>
        </is>
      </c>
      <c r="C16" s="56" t="n"/>
      <c r="D16" s="56" t="n"/>
      <c r="F16" s="51" t="n"/>
      <c r="G16" s="51" t="n"/>
      <c r="H16" s="52" t="n"/>
      <c r="I16" s="51" t="n"/>
      <c r="J16" s="51" t="n"/>
      <c r="K16" s="51" t="n"/>
    </row>
    <row r="17">
      <c r="A17" s="56" t="inlineStr">
        <is>
          <t>Sam (example)</t>
        </is>
      </c>
      <c r="B17" s="56" t="inlineStr">
        <is>
          <t>Member</t>
        </is>
      </c>
      <c r="C17" s="56" t="n"/>
      <c r="D17" s="56" t="n"/>
    </row>
    <row r="18">
      <c r="A18" s="56" t="inlineStr">
        <is>
          <t>Jordan (example)</t>
        </is>
      </c>
      <c r="B18" s="56" t="inlineStr">
        <is>
          <t>Member</t>
        </is>
      </c>
      <c r="C18" s="56" t="n"/>
      <c r="D18" s="56" t="n"/>
      <c r="F18" s="57" t="inlineStr">
        <is>
          <t>Note: task status 'Done' and 'Blocked' are used by formulas: rename them only together with the formulas.</t>
        </is>
      </c>
    </row>
    <row r="19">
      <c r="A19" s="56" t="inlineStr"/>
      <c r="B19" s="56" t="inlineStr"/>
      <c r="C19" s="56" t="n"/>
      <c r="D19" s="56" t="n"/>
    </row>
    <row r="20">
      <c r="A20" s="56" t="inlineStr"/>
      <c r="B20" s="56" t="inlineStr"/>
      <c r="C20" s="56" t="n"/>
      <c r="D20" s="56" t="n"/>
    </row>
    <row r="21">
      <c r="A21" s="56" t="inlineStr"/>
      <c r="B21" s="56" t="inlineStr"/>
      <c r="C21" s="56" t="n"/>
      <c r="D21" s="56" t="n"/>
    </row>
    <row r="22">
      <c r="A22" s="56" t="inlineStr"/>
      <c r="B22" s="56" t="inlineStr"/>
      <c r="C22" s="56" t="n"/>
      <c r="D22" s="56" t="n"/>
    </row>
    <row r="23">
      <c r="A23" s="56" t="inlineStr"/>
      <c r="B23" s="56" t="inlineStr"/>
      <c r="C23" s="56" t="n"/>
      <c r="D23" s="56" t="n"/>
    </row>
    <row r="24">
      <c r="A24" s="56" t="inlineStr"/>
      <c r="B24" s="56" t="inlineStr"/>
      <c r="C24" s="56" t="n"/>
      <c r="D24" s="56" t="n"/>
    </row>
    <row r="25">
      <c r="A25" s="56" t="inlineStr"/>
      <c r="B25" s="56" t="inlineStr"/>
      <c r="C25" s="56" t="n"/>
      <c r="D25" s="56" t="n"/>
    </row>
  </sheetData>
  <hyperlinks>
    <hyperlink xmlns:r="http://schemas.openxmlformats.org/officeDocument/2006/relationships" ref="A3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0A2A5C"/>
    <outlinePr summaryBelow="1" summaryRight="1"/>
    <pageSetUpPr fitToPage="1"/>
  </sheetPr>
  <dimension ref="A1:P30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4" customWidth="1" min="2" max="2"/>
    <col width="18" customWidth="1" min="3" max="3"/>
    <col width="18" customWidth="1" min="4" max="4"/>
    <col width="13" customWidth="1" min="5" max="5"/>
    <col width="11" customWidth="1" min="6" max="6"/>
    <col width="16" customWidth="1" min="7" max="7"/>
    <col width="24" customWidth="1" min="8" max="8"/>
    <col width="16" customWidth="1" min="9" max="9"/>
    <col width="9" customWidth="1" min="10" max="10"/>
    <col width="10" customWidth="1" min="11" max="11"/>
    <col width="9" customWidth="1" min="12" max="12"/>
    <col width="13" customWidth="1" min="13" max="13"/>
    <col width="11" customWidth="1" min="14" max="14"/>
    <col width="36" customWidth="1" min="15" max="15"/>
    <col hidden="1" width="4" customWidth="1" min="16" max="16"/>
  </cols>
  <sheetData>
    <row r="1" ht="30" customHeight="1">
      <c r="A1" s="47" t="inlineStr">
        <is>
          <t>Tasks</t>
        </is>
      </c>
    </row>
    <row r="2">
      <c r="A2" s="3" t="inlineStr">
        <is>
          <t>One row per task. Type in the blue cells; grey columns are calculated. Dates: Local time, 12-hour AM/PM.</t>
        </is>
      </c>
    </row>
    <row r="3">
      <c r="A3" s="48" t="inlineStr">
        <is>
          <t>← Back to Start Here</t>
        </is>
      </c>
    </row>
    <row r="5" ht="32" customHeight="1">
      <c r="A5" s="50" t="inlineStr">
        <is>
          <t>ID</t>
        </is>
      </c>
      <c r="B5" s="50" t="inlineStr">
        <is>
          <t>Task</t>
        </is>
      </c>
      <c r="C5" s="50" t="inlineStr">
        <is>
          <t>Milestone</t>
        </is>
      </c>
      <c r="D5" s="50" t="inlineStr">
        <is>
          <t>Owner</t>
        </is>
      </c>
      <c r="E5" s="50" t="inlineStr">
        <is>
          <t>Status</t>
        </is>
      </c>
      <c r="F5" s="50" t="inlineStr">
        <is>
          <t>Priority</t>
        </is>
      </c>
      <c r="G5" s="50" t="inlineStr">
        <is>
          <t>Start</t>
        </is>
      </c>
      <c r="H5" s="50" t="inlineStr">
        <is>
          <t>Due</t>
        </is>
      </c>
      <c r="I5" s="50" t="inlineStr">
        <is>
          <t>Completed on</t>
        </is>
      </c>
      <c r="J5" s="50" t="inlineStr">
        <is>
          <t>Est. hours</t>
        </is>
      </c>
      <c r="K5" s="50" t="inlineStr">
        <is>
          <t>Progress</t>
        </is>
      </c>
      <c r="L5" s="50" t="inlineStr">
        <is>
          <t>Days left</t>
        </is>
      </c>
      <c r="M5" s="50" t="inlineStr">
        <is>
          <t>Health</t>
        </is>
      </c>
      <c r="N5" s="50" t="inlineStr">
        <is>
          <t>Depends on</t>
        </is>
      </c>
      <c r="O5" s="50" t="inlineStr">
        <is>
          <t>Notes / link</t>
        </is>
      </c>
      <c r="P5" s="50" t="inlineStr">
        <is>
          <t>sort key</t>
        </is>
      </c>
    </row>
    <row r="6">
      <c r="A6" s="58">
        <f>IF(B6="","","T-"&amp;TEXT(ROW()-5,"000"))</f>
        <v/>
      </c>
      <c r="B6" s="59" t="inlineStr">
        <is>
          <t>Example: write the project brief</t>
        </is>
      </c>
      <c r="C6" s="51" t="inlineStr">
        <is>
          <t>Planning</t>
        </is>
      </c>
      <c r="D6" s="51" t="inlineStr">
        <is>
          <t>Alex (example)</t>
        </is>
      </c>
      <c r="E6" s="51" t="inlineStr">
        <is>
          <t>Done</t>
        </is>
      </c>
      <c r="F6" s="51" t="inlineStr">
        <is>
          <t>High</t>
        </is>
      </c>
      <c r="G6" s="60" t="n">
        <v>46304</v>
      </c>
      <c r="H6" s="61" t="n">
        <v>46307.70833333334</v>
      </c>
      <c r="I6" s="60" t="n">
        <v>46304</v>
      </c>
      <c r="J6" s="62" t="n">
        <v>3</v>
      </c>
      <c r="K6" s="52" t="n">
        <v>1</v>
      </c>
      <c r="L6" s="63">
        <f>IF(OR(B6="",H6="",E6="Done"),"",ROUNDDOWN(H6-NOW(),0))</f>
        <v/>
      </c>
      <c r="M6" s="58">
        <f>IF(B6="","",IF(E6="Done","Complete",IF(E6="Blocked","Blocked",IF(H6="","No due date",IF(H6&lt;NOW(),"Overdue",IF(H6-NOW()&lt;=3,"Due soon","On track"))))))</f>
        <v/>
      </c>
      <c r="N6" s="51" t="n"/>
      <c r="O6" s="59" t="inlineStr">
        <is>
          <t>Example row: overwrite or delete</t>
        </is>
      </c>
      <c r="P6" s="64">
        <f>IF(OR(B6="",E6="Done",H6=""),"",H6+ROW()/10000000)</f>
        <v/>
      </c>
    </row>
    <row r="7">
      <c r="A7" s="58">
        <f>IF(B7="","","T-"&amp;TEXT(ROW()-5,"000"))</f>
        <v/>
      </c>
      <c r="B7" s="59" t="inlineStr">
        <is>
          <t>Example: set up the shared workspace</t>
        </is>
      </c>
      <c r="C7" s="51" t="inlineStr">
        <is>
          <t>Planning</t>
        </is>
      </c>
      <c r="D7" s="51" t="inlineStr">
        <is>
          <t>Sam (example)</t>
        </is>
      </c>
      <c r="E7" s="51" t="inlineStr">
        <is>
          <t>In progress</t>
        </is>
      </c>
      <c r="F7" s="51" t="inlineStr">
        <is>
          <t>Medium</t>
        </is>
      </c>
      <c r="G7" s="60" t="n">
        <v>46304</v>
      </c>
      <c r="H7" s="61" t="n">
        <v>46310.5</v>
      </c>
      <c r="I7" s="60" t="n"/>
      <c r="J7" s="62" t="n">
        <v>2</v>
      </c>
      <c r="K7" s="52" t="n">
        <v>0.5</v>
      </c>
      <c r="L7" s="63">
        <f>IF(OR(B7="",H7="",E7="Done"),"",ROUNDDOWN(H7-NOW(),0))</f>
        <v/>
      </c>
      <c r="M7" s="58">
        <f>IF(B7="","",IF(E7="Done","Complete",IF(E7="Blocked","Blocked",IF(H7="","No due date",IF(H7&lt;NOW(),"Overdue",IF(H7-NOW()&lt;=3,"Due soon","On track"))))))</f>
        <v/>
      </c>
      <c r="N7" s="51" t="n"/>
      <c r="O7" s="59" t="inlineStr">
        <is>
          <t>Example row</t>
        </is>
      </c>
      <c r="P7" s="64">
        <f>IF(OR(B7="",E7="Done",H7=""),"",H7+ROW()/10000000)</f>
        <v/>
      </c>
    </row>
    <row r="8">
      <c r="A8" s="58">
        <f>IF(B8="","","T-"&amp;TEXT(ROW()-5,"000"))</f>
        <v/>
      </c>
      <c r="B8" s="59" t="inlineStr">
        <is>
          <t>Example: build the first version</t>
        </is>
      </c>
      <c r="C8" s="51" t="inlineStr">
        <is>
          <t>Build</t>
        </is>
      </c>
      <c r="D8" s="51" t="inlineStr">
        <is>
          <t>Jordan (example)</t>
        </is>
      </c>
      <c r="E8" s="51" t="inlineStr">
        <is>
          <t>Not started</t>
        </is>
      </c>
      <c r="F8" s="51" t="inlineStr">
        <is>
          <t>Critical</t>
        </is>
      </c>
      <c r="G8" s="60" t="n">
        <v>46311</v>
      </c>
      <c r="H8" s="61" t="n">
        <v>46334.70833333334</v>
      </c>
      <c r="I8" s="60" t="n"/>
      <c r="J8" s="62" t="n">
        <v>20</v>
      </c>
      <c r="K8" s="52" t="n">
        <v>0</v>
      </c>
      <c r="L8" s="63">
        <f>IF(OR(B8="",H8="",E8="Done"),"",ROUNDDOWN(H8-NOW(),0))</f>
        <v/>
      </c>
      <c r="M8" s="58">
        <f>IF(B8="","",IF(E8="Done","Complete",IF(E8="Blocked","Blocked",IF(H8="","No due date",IF(H8&lt;NOW(),"Overdue",IF(H8-NOW()&lt;=3,"Due soon","On track"))))))</f>
        <v/>
      </c>
      <c r="N8" s="51" t="inlineStr">
        <is>
          <t>T-002</t>
        </is>
      </c>
      <c r="O8" s="59" t="inlineStr">
        <is>
          <t>Example row</t>
        </is>
      </c>
      <c r="P8" s="64">
        <f>IF(OR(B8="",E8="Done",H8=""),"",H8+ROW()/10000000)</f>
        <v/>
      </c>
    </row>
    <row r="9">
      <c r="A9" s="58">
        <f>IF(B9="","","T-"&amp;TEXT(ROW()-5,"000"))</f>
        <v/>
      </c>
      <c r="B9" s="65" t="n"/>
      <c r="C9" s="51" t="n"/>
      <c r="D9" s="51" t="n"/>
      <c r="E9" s="51" t="n"/>
      <c r="F9" s="51" t="n"/>
      <c r="G9" s="60" t="n"/>
      <c r="H9" s="61" t="n"/>
      <c r="I9" s="60" t="n"/>
      <c r="J9" s="62" t="n"/>
      <c r="K9" s="52" t="n"/>
      <c r="L9" s="63">
        <f>IF(OR(B9="",H9="",E9="Done"),"",ROUNDDOWN(H9-NOW(),0))</f>
        <v/>
      </c>
      <c r="M9" s="58">
        <f>IF(B9="","",IF(E9="Done","Complete",IF(E9="Blocked","Blocked",IF(H9="","No due date",IF(H9&lt;NOW(),"Overdue",IF(H9-NOW()&lt;=3,"Due soon","On track"))))))</f>
        <v/>
      </c>
      <c r="N9" s="51" t="n"/>
      <c r="O9" s="65" t="n"/>
      <c r="P9" s="64">
        <f>IF(OR(B9="",E9="Done",H9=""),"",H9+ROW()/10000000)</f>
        <v/>
      </c>
    </row>
    <row r="10">
      <c r="A10" s="58">
        <f>IF(B10="","","T-"&amp;TEXT(ROW()-5,"000"))</f>
        <v/>
      </c>
      <c r="B10" s="65" t="n"/>
      <c r="C10" s="51" t="n"/>
      <c r="D10" s="51" t="n"/>
      <c r="E10" s="51" t="n"/>
      <c r="F10" s="51" t="n"/>
      <c r="G10" s="60" t="n"/>
      <c r="H10" s="61" t="n"/>
      <c r="I10" s="60" t="n"/>
      <c r="J10" s="62" t="n"/>
      <c r="K10" s="52" t="n"/>
      <c r="L10" s="63">
        <f>IF(OR(B10="",H10="",E10="Done"),"",ROUNDDOWN(H10-NOW(),0))</f>
        <v/>
      </c>
      <c r="M10" s="58">
        <f>IF(B10="","",IF(E10="Done","Complete",IF(E10="Blocked","Blocked",IF(H10="","No due date",IF(H10&lt;NOW(),"Overdue",IF(H10-NOW()&lt;=3,"Due soon","On track"))))))</f>
        <v/>
      </c>
      <c r="N10" s="51" t="n"/>
      <c r="O10" s="65" t="n"/>
      <c r="P10" s="64">
        <f>IF(OR(B10="",E10="Done",H10=""),"",H10+ROW()/10000000)</f>
        <v/>
      </c>
    </row>
    <row r="11">
      <c r="A11" s="58">
        <f>IF(B11="","","T-"&amp;TEXT(ROW()-5,"000"))</f>
        <v/>
      </c>
      <c r="B11" s="65" t="n"/>
      <c r="C11" s="51" t="n"/>
      <c r="D11" s="51" t="n"/>
      <c r="E11" s="51" t="n"/>
      <c r="F11" s="51" t="n"/>
      <c r="G11" s="60" t="n"/>
      <c r="H11" s="61" t="n"/>
      <c r="I11" s="60" t="n"/>
      <c r="J11" s="62" t="n"/>
      <c r="K11" s="52" t="n"/>
      <c r="L11" s="63">
        <f>IF(OR(B11="",H11="",E11="Done"),"",ROUNDDOWN(H11-NOW(),0))</f>
        <v/>
      </c>
      <c r="M11" s="58">
        <f>IF(B11="","",IF(E11="Done","Complete",IF(E11="Blocked","Blocked",IF(H11="","No due date",IF(H11&lt;NOW(),"Overdue",IF(H11-NOW()&lt;=3,"Due soon","On track"))))))</f>
        <v/>
      </c>
      <c r="N11" s="51" t="n"/>
      <c r="O11" s="65" t="n"/>
      <c r="P11" s="64">
        <f>IF(OR(B11="",E11="Done",H11=""),"",H11+ROW()/10000000)</f>
        <v/>
      </c>
    </row>
    <row r="12">
      <c r="A12" s="58">
        <f>IF(B12="","","T-"&amp;TEXT(ROW()-5,"000"))</f>
        <v/>
      </c>
      <c r="B12" s="65" t="n"/>
      <c r="C12" s="51" t="n"/>
      <c r="D12" s="51" t="n"/>
      <c r="E12" s="51" t="n"/>
      <c r="F12" s="51" t="n"/>
      <c r="G12" s="60" t="n"/>
      <c r="H12" s="61" t="n"/>
      <c r="I12" s="60" t="n"/>
      <c r="J12" s="62" t="n"/>
      <c r="K12" s="52" t="n"/>
      <c r="L12" s="63">
        <f>IF(OR(B12="",H12="",E12="Done"),"",ROUNDDOWN(H12-NOW(),0))</f>
        <v/>
      </c>
      <c r="M12" s="58">
        <f>IF(B12="","",IF(E12="Done","Complete",IF(E12="Blocked","Blocked",IF(H12="","No due date",IF(H12&lt;NOW(),"Overdue",IF(H12-NOW()&lt;=3,"Due soon","On track"))))))</f>
        <v/>
      </c>
      <c r="N12" s="51" t="n"/>
      <c r="O12" s="65" t="n"/>
      <c r="P12" s="64">
        <f>IF(OR(B12="",E12="Done",H12=""),"",H12+ROW()/10000000)</f>
        <v/>
      </c>
    </row>
    <row r="13">
      <c r="A13" s="58">
        <f>IF(B13="","","T-"&amp;TEXT(ROW()-5,"000"))</f>
        <v/>
      </c>
      <c r="B13" s="65" t="n"/>
      <c r="C13" s="51" t="n"/>
      <c r="D13" s="51" t="n"/>
      <c r="E13" s="51" t="n"/>
      <c r="F13" s="51" t="n"/>
      <c r="G13" s="60" t="n"/>
      <c r="H13" s="61" t="n"/>
      <c r="I13" s="60" t="n"/>
      <c r="J13" s="62" t="n"/>
      <c r="K13" s="52" t="n"/>
      <c r="L13" s="63">
        <f>IF(OR(B13="",H13="",E13="Done"),"",ROUNDDOWN(H13-NOW(),0))</f>
        <v/>
      </c>
      <c r="M13" s="58">
        <f>IF(B13="","",IF(E13="Done","Complete",IF(E13="Blocked","Blocked",IF(H13="","No due date",IF(H13&lt;NOW(),"Overdue",IF(H13-NOW()&lt;=3,"Due soon","On track"))))))</f>
        <v/>
      </c>
      <c r="N13" s="51" t="n"/>
      <c r="O13" s="65" t="n"/>
      <c r="P13" s="64">
        <f>IF(OR(B13="",E13="Done",H13=""),"",H13+ROW()/10000000)</f>
        <v/>
      </c>
    </row>
    <row r="14">
      <c r="A14" s="58">
        <f>IF(B14="","","T-"&amp;TEXT(ROW()-5,"000"))</f>
        <v/>
      </c>
      <c r="B14" s="65" t="n"/>
      <c r="C14" s="51" t="n"/>
      <c r="D14" s="51" t="n"/>
      <c r="E14" s="51" t="n"/>
      <c r="F14" s="51" t="n"/>
      <c r="G14" s="60" t="n"/>
      <c r="H14" s="61" t="n"/>
      <c r="I14" s="60" t="n"/>
      <c r="J14" s="62" t="n"/>
      <c r="K14" s="52" t="n"/>
      <c r="L14" s="63">
        <f>IF(OR(B14="",H14="",E14="Done"),"",ROUNDDOWN(H14-NOW(),0))</f>
        <v/>
      </c>
      <c r="M14" s="58">
        <f>IF(B14="","",IF(E14="Done","Complete",IF(E14="Blocked","Blocked",IF(H14="","No due date",IF(H14&lt;NOW(),"Overdue",IF(H14-NOW()&lt;=3,"Due soon","On track"))))))</f>
        <v/>
      </c>
      <c r="N14" s="51" t="n"/>
      <c r="O14" s="65" t="n"/>
      <c r="P14" s="64">
        <f>IF(OR(B14="",E14="Done",H14=""),"",H14+ROW()/10000000)</f>
        <v/>
      </c>
    </row>
    <row r="15">
      <c r="A15" s="58">
        <f>IF(B15="","","T-"&amp;TEXT(ROW()-5,"000"))</f>
        <v/>
      </c>
      <c r="B15" s="65" t="n"/>
      <c r="C15" s="51" t="n"/>
      <c r="D15" s="51" t="n"/>
      <c r="E15" s="51" t="n"/>
      <c r="F15" s="51" t="n"/>
      <c r="G15" s="60" t="n"/>
      <c r="H15" s="61" t="n"/>
      <c r="I15" s="60" t="n"/>
      <c r="J15" s="62" t="n"/>
      <c r="K15" s="52" t="n"/>
      <c r="L15" s="63">
        <f>IF(OR(B15="",H15="",E15="Done"),"",ROUNDDOWN(H15-NOW(),0))</f>
        <v/>
      </c>
      <c r="M15" s="58">
        <f>IF(B15="","",IF(E15="Done","Complete",IF(E15="Blocked","Blocked",IF(H15="","No due date",IF(H15&lt;NOW(),"Overdue",IF(H15-NOW()&lt;=3,"Due soon","On track"))))))</f>
        <v/>
      </c>
      <c r="N15" s="51" t="n"/>
      <c r="O15" s="65" t="n"/>
      <c r="P15" s="64">
        <f>IF(OR(B15="",E15="Done",H15=""),"",H15+ROW()/10000000)</f>
        <v/>
      </c>
    </row>
    <row r="16">
      <c r="A16" s="58">
        <f>IF(B16="","","T-"&amp;TEXT(ROW()-5,"000"))</f>
        <v/>
      </c>
      <c r="B16" s="65" t="n"/>
      <c r="C16" s="51" t="n"/>
      <c r="D16" s="51" t="n"/>
      <c r="E16" s="51" t="n"/>
      <c r="F16" s="51" t="n"/>
      <c r="G16" s="60" t="n"/>
      <c r="H16" s="61" t="n"/>
      <c r="I16" s="60" t="n"/>
      <c r="J16" s="62" t="n"/>
      <c r="K16" s="52" t="n"/>
      <c r="L16" s="63">
        <f>IF(OR(B16="",H16="",E16="Done"),"",ROUNDDOWN(H16-NOW(),0))</f>
        <v/>
      </c>
      <c r="M16" s="58">
        <f>IF(B16="","",IF(E16="Done","Complete",IF(E16="Blocked","Blocked",IF(H16="","No due date",IF(H16&lt;NOW(),"Overdue",IF(H16-NOW()&lt;=3,"Due soon","On track"))))))</f>
        <v/>
      </c>
      <c r="N16" s="51" t="n"/>
      <c r="O16" s="65" t="n"/>
      <c r="P16" s="64">
        <f>IF(OR(B16="",E16="Done",H16=""),"",H16+ROW()/10000000)</f>
        <v/>
      </c>
    </row>
    <row r="17">
      <c r="A17" s="58">
        <f>IF(B17="","","T-"&amp;TEXT(ROW()-5,"000"))</f>
        <v/>
      </c>
      <c r="B17" s="65" t="n"/>
      <c r="C17" s="51" t="n"/>
      <c r="D17" s="51" t="n"/>
      <c r="E17" s="51" t="n"/>
      <c r="F17" s="51" t="n"/>
      <c r="G17" s="60" t="n"/>
      <c r="H17" s="61" t="n"/>
      <c r="I17" s="60" t="n"/>
      <c r="J17" s="62" t="n"/>
      <c r="K17" s="52" t="n"/>
      <c r="L17" s="63">
        <f>IF(OR(B17="",H17="",E17="Done"),"",ROUNDDOWN(H17-NOW(),0))</f>
        <v/>
      </c>
      <c r="M17" s="58">
        <f>IF(B17="","",IF(E17="Done","Complete",IF(E17="Blocked","Blocked",IF(H17="","No due date",IF(H17&lt;NOW(),"Overdue",IF(H17-NOW()&lt;=3,"Due soon","On track"))))))</f>
        <v/>
      </c>
      <c r="N17" s="51" t="n"/>
      <c r="O17" s="65" t="n"/>
      <c r="P17" s="64">
        <f>IF(OR(B17="",E17="Done",H17=""),"",H17+ROW()/10000000)</f>
        <v/>
      </c>
    </row>
    <row r="18">
      <c r="A18" s="58">
        <f>IF(B18="","","T-"&amp;TEXT(ROW()-5,"000"))</f>
        <v/>
      </c>
      <c r="B18" s="65" t="n"/>
      <c r="C18" s="51" t="n"/>
      <c r="D18" s="51" t="n"/>
      <c r="E18" s="51" t="n"/>
      <c r="F18" s="51" t="n"/>
      <c r="G18" s="60" t="n"/>
      <c r="H18" s="61" t="n"/>
      <c r="I18" s="60" t="n"/>
      <c r="J18" s="62" t="n"/>
      <c r="K18" s="52" t="n"/>
      <c r="L18" s="63">
        <f>IF(OR(B18="",H18="",E18="Done"),"",ROUNDDOWN(H18-NOW(),0))</f>
        <v/>
      </c>
      <c r="M18" s="58">
        <f>IF(B18="","",IF(E18="Done","Complete",IF(E18="Blocked","Blocked",IF(H18="","No due date",IF(H18&lt;NOW(),"Overdue",IF(H18-NOW()&lt;=3,"Due soon","On track"))))))</f>
        <v/>
      </c>
      <c r="N18" s="51" t="n"/>
      <c r="O18" s="65" t="n"/>
      <c r="P18" s="64">
        <f>IF(OR(B18="",E18="Done",H18=""),"",H18+ROW()/10000000)</f>
        <v/>
      </c>
    </row>
    <row r="19">
      <c r="A19" s="58">
        <f>IF(B19="","","T-"&amp;TEXT(ROW()-5,"000"))</f>
        <v/>
      </c>
      <c r="B19" s="65" t="n"/>
      <c r="C19" s="51" t="n"/>
      <c r="D19" s="51" t="n"/>
      <c r="E19" s="51" t="n"/>
      <c r="F19" s="51" t="n"/>
      <c r="G19" s="60" t="n"/>
      <c r="H19" s="61" t="n"/>
      <c r="I19" s="60" t="n"/>
      <c r="J19" s="62" t="n"/>
      <c r="K19" s="52" t="n"/>
      <c r="L19" s="63">
        <f>IF(OR(B19="",H19="",E19="Done"),"",ROUNDDOWN(H19-NOW(),0))</f>
        <v/>
      </c>
      <c r="M19" s="58">
        <f>IF(B19="","",IF(E19="Done","Complete",IF(E19="Blocked","Blocked",IF(H19="","No due date",IF(H19&lt;NOW(),"Overdue",IF(H19-NOW()&lt;=3,"Due soon","On track"))))))</f>
        <v/>
      </c>
      <c r="N19" s="51" t="n"/>
      <c r="O19" s="65" t="n"/>
      <c r="P19" s="64">
        <f>IF(OR(B19="",E19="Done",H19=""),"",H19+ROW()/10000000)</f>
        <v/>
      </c>
    </row>
    <row r="20">
      <c r="A20" s="58">
        <f>IF(B20="","","T-"&amp;TEXT(ROW()-5,"000"))</f>
        <v/>
      </c>
      <c r="B20" s="65" t="n"/>
      <c r="C20" s="51" t="n"/>
      <c r="D20" s="51" t="n"/>
      <c r="E20" s="51" t="n"/>
      <c r="F20" s="51" t="n"/>
      <c r="G20" s="60" t="n"/>
      <c r="H20" s="61" t="n"/>
      <c r="I20" s="60" t="n"/>
      <c r="J20" s="62" t="n"/>
      <c r="K20" s="52" t="n"/>
      <c r="L20" s="63">
        <f>IF(OR(B20="",H20="",E20="Done"),"",ROUNDDOWN(H20-NOW(),0))</f>
        <v/>
      </c>
      <c r="M20" s="58">
        <f>IF(B20="","",IF(E20="Done","Complete",IF(E20="Blocked","Blocked",IF(H20="","No due date",IF(H20&lt;NOW(),"Overdue",IF(H20-NOW()&lt;=3,"Due soon","On track"))))))</f>
        <v/>
      </c>
      <c r="N20" s="51" t="n"/>
      <c r="O20" s="65" t="n"/>
      <c r="P20" s="64">
        <f>IF(OR(B20="",E20="Done",H20=""),"",H20+ROW()/10000000)</f>
        <v/>
      </c>
    </row>
    <row r="21">
      <c r="A21" s="58">
        <f>IF(B21="","","T-"&amp;TEXT(ROW()-5,"000"))</f>
        <v/>
      </c>
      <c r="B21" s="65" t="n"/>
      <c r="C21" s="51" t="n"/>
      <c r="D21" s="51" t="n"/>
      <c r="E21" s="51" t="n"/>
      <c r="F21" s="51" t="n"/>
      <c r="G21" s="60" t="n"/>
      <c r="H21" s="61" t="n"/>
      <c r="I21" s="60" t="n"/>
      <c r="J21" s="62" t="n"/>
      <c r="K21" s="52" t="n"/>
      <c r="L21" s="63">
        <f>IF(OR(B21="",H21="",E21="Done"),"",ROUNDDOWN(H21-NOW(),0))</f>
        <v/>
      </c>
      <c r="M21" s="58">
        <f>IF(B21="","",IF(E21="Done","Complete",IF(E21="Blocked","Blocked",IF(H21="","No due date",IF(H21&lt;NOW(),"Overdue",IF(H21-NOW()&lt;=3,"Due soon","On track"))))))</f>
        <v/>
      </c>
      <c r="N21" s="51" t="n"/>
      <c r="O21" s="65" t="n"/>
      <c r="P21" s="64">
        <f>IF(OR(B21="",E21="Done",H21=""),"",H21+ROW()/10000000)</f>
        <v/>
      </c>
    </row>
    <row r="22">
      <c r="A22" s="58">
        <f>IF(B22="","","T-"&amp;TEXT(ROW()-5,"000"))</f>
        <v/>
      </c>
      <c r="B22" s="65" t="n"/>
      <c r="C22" s="51" t="n"/>
      <c r="D22" s="51" t="n"/>
      <c r="E22" s="51" t="n"/>
      <c r="F22" s="51" t="n"/>
      <c r="G22" s="60" t="n"/>
      <c r="H22" s="61" t="n"/>
      <c r="I22" s="60" t="n"/>
      <c r="J22" s="62" t="n"/>
      <c r="K22" s="52" t="n"/>
      <c r="L22" s="63">
        <f>IF(OR(B22="",H22="",E22="Done"),"",ROUNDDOWN(H22-NOW(),0))</f>
        <v/>
      </c>
      <c r="M22" s="58">
        <f>IF(B22="","",IF(E22="Done","Complete",IF(E22="Blocked","Blocked",IF(H22="","No due date",IF(H22&lt;NOW(),"Overdue",IF(H22-NOW()&lt;=3,"Due soon","On track"))))))</f>
        <v/>
      </c>
      <c r="N22" s="51" t="n"/>
      <c r="O22" s="65" t="n"/>
      <c r="P22" s="64">
        <f>IF(OR(B22="",E22="Done",H22=""),"",H22+ROW()/10000000)</f>
        <v/>
      </c>
    </row>
    <row r="23">
      <c r="A23" s="58">
        <f>IF(B23="","","T-"&amp;TEXT(ROW()-5,"000"))</f>
        <v/>
      </c>
      <c r="B23" s="65" t="n"/>
      <c r="C23" s="51" t="n"/>
      <c r="D23" s="51" t="n"/>
      <c r="E23" s="51" t="n"/>
      <c r="F23" s="51" t="n"/>
      <c r="G23" s="60" t="n"/>
      <c r="H23" s="61" t="n"/>
      <c r="I23" s="60" t="n"/>
      <c r="J23" s="62" t="n"/>
      <c r="K23" s="52" t="n"/>
      <c r="L23" s="63">
        <f>IF(OR(B23="",H23="",E23="Done"),"",ROUNDDOWN(H23-NOW(),0))</f>
        <v/>
      </c>
      <c r="M23" s="58">
        <f>IF(B23="","",IF(E23="Done","Complete",IF(E23="Blocked","Blocked",IF(H23="","No due date",IF(H23&lt;NOW(),"Overdue",IF(H23-NOW()&lt;=3,"Due soon","On track"))))))</f>
        <v/>
      </c>
      <c r="N23" s="51" t="n"/>
      <c r="O23" s="65" t="n"/>
      <c r="P23" s="64">
        <f>IF(OR(B23="",E23="Done",H23=""),"",H23+ROW()/10000000)</f>
        <v/>
      </c>
    </row>
    <row r="24">
      <c r="A24" s="58">
        <f>IF(B24="","","T-"&amp;TEXT(ROW()-5,"000"))</f>
        <v/>
      </c>
      <c r="B24" s="65" t="n"/>
      <c r="C24" s="51" t="n"/>
      <c r="D24" s="51" t="n"/>
      <c r="E24" s="51" t="n"/>
      <c r="F24" s="51" t="n"/>
      <c r="G24" s="60" t="n"/>
      <c r="H24" s="61" t="n"/>
      <c r="I24" s="60" t="n"/>
      <c r="J24" s="62" t="n"/>
      <c r="K24" s="52" t="n"/>
      <c r="L24" s="63">
        <f>IF(OR(B24="",H24="",E24="Done"),"",ROUNDDOWN(H24-NOW(),0))</f>
        <v/>
      </c>
      <c r="M24" s="58">
        <f>IF(B24="","",IF(E24="Done","Complete",IF(E24="Blocked","Blocked",IF(H24="","No due date",IF(H24&lt;NOW(),"Overdue",IF(H24-NOW()&lt;=3,"Due soon","On track"))))))</f>
        <v/>
      </c>
      <c r="N24" s="51" t="n"/>
      <c r="O24" s="65" t="n"/>
      <c r="P24" s="64">
        <f>IF(OR(B24="",E24="Done",H24=""),"",H24+ROW()/10000000)</f>
        <v/>
      </c>
    </row>
    <row r="25">
      <c r="A25" s="58">
        <f>IF(B25="","","T-"&amp;TEXT(ROW()-5,"000"))</f>
        <v/>
      </c>
      <c r="B25" s="65" t="n"/>
      <c r="C25" s="51" t="n"/>
      <c r="D25" s="51" t="n"/>
      <c r="E25" s="51" t="n"/>
      <c r="F25" s="51" t="n"/>
      <c r="G25" s="60" t="n"/>
      <c r="H25" s="61" t="n"/>
      <c r="I25" s="60" t="n"/>
      <c r="J25" s="62" t="n"/>
      <c r="K25" s="52" t="n"/>
      <c r="L25" s="63">
        <f>IF(OR(B25="",H25="",E25="Done"),"",ROUNDDOWN(H25-NOW(),0))</f>
        <v/>
      </c>
      <c r="M25" s="58">
        <f>IF(B25="","",IF(E25="Done","Complete",IF(E25="Blocked","Blocked",IF(H25="","No due date",IF(H25&lt;NOW(),"Overdue",IF(H25-NOW()&lt;=3,"Due soon","On track"))))))</f>
        <v/>
      </c>
      <c r="N25" s="51" t="n"/>
      <c r="O25" s="65" t="n"/>
      <c r="P25" s="64">
        <f>IF(OR(B25="",E25="Done",H25=""),"",H25+ROW()/10000000)</f>
        <v/>
      </c>
    </row>
    <row r="26">
      <c r="A26" s="58">
        <f>IF(B26="","","T-"&amp;TEXT(ROW()-5,"000"))</f>
        <v/>
      </c>
      <c r="B26" s="65" t="n"/>
      <c r="C26" s="51" t="n"/>
      <c r="D26" s="51" t="n"/>
      <c r="E26" s="51" t="n"/>
      <c r="F26" s="51" t="n"/>
      <c r="G26" s="60" t="n"/>
      <c r="H26" s="61" t="n"/>
      <c r="I26" s="60" t="n"/>
      <c r="J26" s="62" t="n"/>
      <c r="K26" s="52" t="n"/>
      <c r="L26" s="63">
        <f>IF(OR(B26="",H26="",E26="Done"),"",ROUNDDOWN(H26-NOW(),0))</f>
        <v/>
      </c>
      <c r="M26" s="58">
        <f>IF(B26="","",IF(E26="Done","Complete",IF(E26="Blocked","Blocked",IF(H26="","No due date",IF(H26&lt;NOW(),"Overdue",IF(H26-NOW()&lt;=3,"Due soon","On track"))))))</f>
        <v/>
      </c>
      <c r="N26" s="51" t="n"/>
      <c r="O26" s="65" t="n"/>
      <c r="P26" s="64">
        <f>IF(OR(B26="",E26="Done",H26=""),"",H26+ROW()/10000000)</f>
        <v/>
      </c>
    </row>
    <row r="27">
      <c r="A27" s="58">
        <f>IF(B27="","","T-"&amp;TEXT(ROW()-5,"000"))</f>
        <v/>
      </c>
      <c r="B27" s="65" t="n"/>
      <c r="C27" s="51" t="n"/>
      <c r="D27" s="51" t="n"/>
      <c r="E27" s="51" t="n"/>
      <c r="F27" s="51" t="n"/>
      <c r="G27" s="60" t="n"/>
      <c r="H27" s="61" t="n"/>
      <c r="I27" s="60" t="n"/>
      <c r="J27" s="62" t="n"/>
      <c r="K27" s="52" t="n"/>
      <c r="L27" s="63">
        <f>IF(OR(B27="",H27="",E27="Done"),"",ROUNDDOWN(H27-NOW(),0))</f>
        <v/>
      </c>
      <c r="M27" s="58">
        <f>IF(B27="","",IF(E27="Done","Complete",IF(E27="Blocked","Blocked",IF(H27="","No due date",IF(H27&lt;NOW(),"Overdue",IF(H27-NOW()&lt;=3,"Due soon","On track"))))))</f>
        <v/>
      </c>
      <c r="N27" s="51" t="n"/>
      <c r="O27" s="65" t="n"/>
      <c r="P27" s="64">
        <f>IF(OR(B27="",E27="Done",H27=""),"",H27+ROW()/10000000)</f>
        <v/>
      </c>
    </row>
    <row r="28">
      <c r="A28" s="58">
        <f>IF(B28="","","T-"&amp;TEXT(ROW()-5,"000"))</f>
        <v/>
      </c>
      <c r="B28" s="65" t="n"/>
      <c r="C28" s="51" t="n"/>
      <c r="D28" s="51" t="n"/>
      <c r="E28" s="51" t="n"/>
      <c r="F28" s="51" t="n"/>
      <c r="G28" s="60" t="n"/>
      <c r="H28" s="61" t="n"/>
      <c r="I28" s="60" t="n"/>
      <c r="J28" s="62" t="n"/>
      <c r="K28" s="52" t="n"/>
      <c r="L28" s="63">
        <f>IF(OR(B28="",H28="",E28="Done"),"",ROUNDDOWN(H28-NOW(),0))</f>
        <v/>
      </c>
      <c r="M28" s="58">
        <f>IF(B28="","",IF(E28="Done","Complete",IF(E28="Blocked","Blocked",IF(H28="","No due date",IF(H28&lt;NOW(),"Overdue",IF(H28-NOW()&lt;=3,"Due soon","On track"))))))</f>
        <v/>
      </c>
      <c r="N28" s="51" t="n"/>
      <c r="O28" s="65" t="n"/>
      <c r="P28" s="64">
        <f>IF(OR(B28="",E28="Done",H28=""),"",H28+ROW()/10000000)</f>
        <v/>
      </c>
    </row>
    <row r="29">
      <c r="A29" s="58">
        <f>IF(B29="","","T-"&amp;TEXT(ROW()-5,"000"))</f>
        <v/>
      </c>
      <c r="B29" s="65" t="n"/>
      <c r="C29" s="51" t="n"/>
      <c r="D29" s="51" t="n"/>
      <c r="E29" s="51" t="n"/>
      <c r="F29" s="51" t="n"/>
      <c r="G29" s="60" t="n"/>
      <c r="H29" s="61" t="n"/>
      <c r="I29" s="60" t="n"/>
      <c r="J29" s="62" t="n"/>
      <c r="K29" s="52" t="n"/>
      <c r="L29" s="63">
        <f>IF(OR(B29="",H29="",E29="Done"),"",ROUNDDOWN(H29-NOW(),0))</f>
        <v/>
      </c>
      <c r="M29" s="58">
        <f>IF(B29="","",IF(E29="Done","Complete",IF(E29="Blocked","Blocked",IF(H29="","No due date",IF(H29&lt;NOW(),"Overdue",IF(H29-NOW()&lt;=3,"Due soon","On track"))))))</f>
        <v/>
      </c>
      <c r="N29" s="51" t="n"/>
      <c r="O29" s="65" t="n"/>
      <c r="P29" s="64">
        <f>IF(OR(B29="",E29="Done",H29=""),"",H29+ROW()/10000000)</f>
        <v/>
      </c>
    </row>
    <row r="30">
      <c r="A30" s="58">
        <f>IF(B30="","","T-"&amp;TEXT(ROW()-5,"000"))</f>
        <v/>
      </c>
      <c r="B30" s="65" t="n"/>
      <c r="C30" s="51" t="n"/>
      <c r="D30" s="51" t="n"/>
      <c r="E30" s="51" t="n"/>
      <c r="F30" s="51" t="n"/>
      <c r="G30" s="60" t="n"/>
      <c r="H30" s="61" t="n"/>
      <c r="I30" s="60" t="n"/>
      <c r="J30" s="62" t="n"/>
      <c r="K30" s="52" t="n"/>
      <c r="L30" s="63">
        <f>IF(OR(B30="",H30="",E30="Done"),"",ROUNDDOWN(H30-NOW(),0))</f>
        <v/>
      </c>
      <c r="M30" s="58">
        <f>IF(B30="","",IF(E30="Done","Complete",IF(E30="Blocked","Blocked",IF(H30="","No due date",IF(H30&lt;NOW(),"Overdue",IF(H30-NOW()&lt;=3,"Due soon","On track"))))))</f>
        <v/>
      </c>
      <c r="N30" s="51" t="n"/>
      <c r="O30" s="65" t="n"/>
      <c r="P30" s="64">
        <f>IF(OR(B30="",E30="Done",H30=""),"",H30+ROW()/10000000)</f>
        <v/>
      </c>
    </row>
    <row r="31">
      <c r="A31" s="58">
        <f>IF(B31="","","T-"&amp;TEXT(ROW()-5,"000"))</f>
        <v/>
      </c>
      <c r="B31" s="65" t="n"/>
      <c r="C31" s="51" t="n"/>
      <c r="D31" s="51" t="n"/>
      <c r="E31" s="51" t="n"/>
      <c r="F31" s="51" t="n"/>
      <c r="G31" s="60" t="n"/>
      <c r="H31" s="61" t="n"/>
      <c r="I31" s="60" t="n"/>
      <c r="J31" s="62" t="n"/>
      <c r="K31" s="52" t="n"/>
      <c r="L31" s="63">
        <f>IF(OR(B31="",H31="",E31="Done"),"",ROUNDDOWN(H31-NOW(),0))</f>
        <v/>
      </c>
      <c r="M31" s="58">
        <f>IF(B31="","",IF(E31="Done","Complete",IF(E31="Blocked","Blocked",IF(H31="","No due date",IF(H31&lt;NOW(),"Overdue",IF(H31-NOW()&lt;=3,"Due soon","On track"))))))</f>
        <v/>
      </c>
      <c r="N31" s="51" t="n"/>
      <c r="O31" s="65" t="n"/>
      <c r="P31" s="64">
        <f>IF(OR(B31="",E31="Done",H31=""),"",H31+ROW()/10000000)</f>
        <v/>
      </c>
    </row>
    <row r="32">
      <c r="A32" s="58">
        <f>IF(B32="","","T-"&amp;TEXT(ROW()-5,"000"))</f>
        <v/>
      </c>
      <c r="B32" s="65" t="n"/>
      <c r="C32" s="51" t="n"/>
      <c r="D32" s="51" t="n"/>
      <c r="E32" s="51" t="n"/>
      <c r="F32" s="51" t="n"/>
      <c r="G32" s="60" t="n"/>
      <c r="H32" s="61" t="n"/>
      <c r="I32" s="60" t="n"/>
      <c r="J32" s="62" t="n"/>
      <c r="K32" s="52" t="n"/>
      <c r="L32" s="63">
        <f>IF(OR(B32="",H32="",E32="Done"),"",ROUNDDOWN(H32-NOW(),0))</f>
        <v/>
      </c>
      <c r="M32" s="58">
        <f>IF(B32="","",IF(E32="Done","Complete",IF(E32="Blocked","Blocked",IF(H32="","No due date",IF(H32&lt;NOW(),"Overdue",IF(H32-NOW()&lt;=3,"Due soon","On track"))))))</f>
        <v/>
      </c>
      <c r="N32" s="51" t="n"/>
      <c r="O32" s="65" t="n"/>
      <c r="P32" s="64">
        <f>IF(OR(B32="",E32="Done",H32=""),"",H32+ROW()/10000000)</f>
        <v/>
      </c>
    </row>
    <row r="33">
      <c r="A33" s="58">
        <f>IF(B33="","","T-"&amp;TEXT(ROW()-5,"000"))</f>
        <v/>
      </c>
      <c r="B33" s="65" t="n"/>
      <c r="C33" s="51" t="n"/>
      <c r="D33" s="51" t="n"/>
      <c r="E33" s="51" t="n"/>
      <c r="F33" s="51" t="n"/>
      <c r="G33" s="60" t="n"/>
      <c r="H33" s="61" t="n"/>
      <c r="I33" s="60" t="n"/>
      <c r="J33" s="62" t="n"/>
      <c r="K33" s="52" t="n"/>
      <c r="L33" s="63">
        <f>IF(OR(B33="",H33="",E33="Done"),"",ROUNDDOWN(H33-NOW(),0))</f>
        <v/>
      </c>
      <c r="M33" s="58">
        <f>IF(B33="","",IF(E33="Done","Complete",IF(E33="Blocked","Blocked",IF(H33="","No due date",IF(H33&lt;NOW(),"Overdue",IF(H33-NOW()&lt;=3,"Due soon","On track"))))))</f>
        <v/>
      </c>
      <c r="N33" s="51" t="n"/>
      <c r="O33" s="65" t="n"/>
      <c r="P33" s="64">
        <f>IF(OR(B33="",E33="Done",H33=""),"",H33+ROW()/10000000)</f>
        <v/>
      </c>
    </row>
    <row r="34">
      <c r="A34" s="58">
        <f>IF(B34="","","T-"&amp;TEXT(ROW()-5,"000"))</f>
        <v/>
      </c>
      <c r="B34" s="65" t="n"/>
      <c r="C34" s="51" t="n"/>
      <c r="D34" s="51" t="n"/>
      <c r="E34" s="51" t="n"/>
      <c r="F34" s="51" t="n"/>
      <c r="G34" s="60" t="n"/>
      <c r="H34" s="61" t="n"/>
      <c r="I34" s="60" t="n"/>
      <c r="J34" s="62" t="n"/>
      <c r="K34" s="52" t="n"/>
      <c r="L34" s="63">
        <f>IF(OR(B34="",H34="",E34="Done"),"",ROUNDDOWN(H34-NOW(),0))</f>
        <v/>
      </c>
      <c r="M34" s="58">
        <f>IF(B34="","",IF(E34="Done","Complete",IF(E34="Blocked","Blocked",IF(H34="","No due date",IF(H34&lt;NOW(),"Overdue",IF(H34-NOW()&lt;=3,"Due soon","On track"))))))</f>
        <v/>
      </c>
      <c r="N34" s="51" t="n"/>
      <c r="O34" s="65" t="n"/>
      <c r="P34" s="64">
        <f>IF(OR(B34="",E34="Done",H34=""),"",H34+ROW()/10000000)</f>
        <v/>
      </c>
    </row>
    <row r="35">
      <c r="A35" s="58">
        <f>IF(B35="","","T-"&amp;TEXT(ROW()-5,"000"))</f>
        <v/>
      </c>
      <c r="B35" s="65" t="n"/>
      <c r="C35" s="51" t="n"/>
      <c r="D35" s="51" t="n"/>
      <c r="E35" s="51" t="n"/>
      <c r="F35" s="51" t="n"/>
      <c r="G35" s="60" t="n"/>
      <c r="H35" s="61" t="n"/>
      <c r="I35" s="60" t="n"/>
      <c r="J35" s="62" t="n"/>
      <c r="K35" s="52" t="n"/>
      <c r="L35" s="63">
        <f>IF(OR(B35="",H35="",E35="Done"),"",ROUNDDOWN(H35-NOW(),0))</f>
        <v/>
      </c>
      <c r="M35" s="58">
        <f>IF(B35="","",IF(E35="Done","Complete",IF(E35="Blocked","Blocked",IF(H35="","No due date",IF(H35&lt;NOW(),"Overdue",IF(H35-NOW()&lt;=3,"Due soon","On track"))))))</f>
        <v/>
      </c>
      <c r="N35" s="51" t="n"/>
      <c r="O35" s="65" t="n"/>
      <c r="P35" s="64">
        <f>IF(OR(B35="",E35="Done",H35=""),"",H35+ROW()/10000000)</f>
        <v/>
      </c>
    </row>
    <row r="36">
      <c r="A36" s="58">
        <f>IF(B36="","","T-"&amp;TEXT(ROW()-5,"000"))</f>
        <v/>
      </c>
      <c r="B36" s="65" t="n"/>
      <c r="C36" s="51" t="n"/>
      <c r="D36" s="51" t="n"/>
      <c r="E36" s="51" t="n"/>
      <c r="F36" s="51" t="n"/>
      <c r="G36" s="60" t="n"/>
      <c r="H36" s="61" t="n"/>
      <c r="I36" s="60" t="n"/>
      <c r="J36" s="62" t="n"/>
      <c r="K36" s="52" t="n"/>
      <c r="L36" s="63">
        <f>IF(OR(B36="",H36="",E36="Done"),"",ROUNDDOWN(H36-NOW(),0))</f>
        <v/>
      </c>
      <c r="M36" s="58">
        <f>IF(B36="","",IF(E36="Done","Complete",IF(E36="Blocked","Blocked",IF(H36="","No due date",IF(H36&lt;NOW(),"Overdue",IF(H36-NOW()&lt;=3,"Due soon","On track"))))))</f>
        <v/>
      </c>
      <c r="N36" s="51" t="n"/>
      <c r="O36" s="65" t="n"/>
      <c r="P36" s="64">
        <f>IF(OR(B36="",E36="Done",H36=""),"",H36+ROW()/10000000)</f>
        <v/>
      </c>
    </row>
    <row r="37">
      <c r="A37" s="58">
        <f>IF(B37="","","T-"&amp;TEXT(ROW()-5,"000"))</f>
        <v/>
      </c>
      <c r="B37" s="65" t="n"/>
      <c r="C37" s="51" t="n"/>
      <c r="D37" s="51" t="n"/>
      <c r="E37" s="51" t="n"/>
      <c r="F37" s="51" t="n"/>
      <c r="G37" s="60" t="n"/>
      <c r="H37" s="61" t="n"/>
      <c r="I37" s="60" t="n"/>
      <c r="J37" s="62" t="n"/>
      <c r="K37" s="52" t="n"/>
      <c r="L37" s="63">
        <f>IF(OR(B37="",H37="",E37="Done"),"",ROUNDDOWN(H37-NOW(),0))</f>
        <v/>
      </c>
      <c r="M37" s="58">
        <f>IF(B37="","",IF(E37="Done","Complete",IF(E37="Blocked","Blocked",IF(H37="","No due date",IF(H37&lt;NOW(),"Overdue",IF(H37-NOW()&lt;=3,"Due soon","On track"))))))</f>
        <v/>
      </c>
      <c r="N37" s="51" t="n"/>
      <c r="O37" s="65" t="n"/>
      <c r="P37" s="64">
        <f>IF(OR(B37="",E37="Done",H37=""),"",H37+ROW()/10000000)</f>
        <v/>
      </c>
    </row>
    <row r="38">
      <c r="A38" s="58">
        <f>IF(B38="","","T-"&amp;TEXT(ROW()-5,"000"))</f>
        <v/>
      </c>
      <c r="B38" s="65" t="n"/>
      <c r="C38" s="51" t="n"/>
      <c r="D38" s="51" t="n"/>
      <c r="E38" s="51" t="n"/>
      <c r="F38" s="51" t="n"/>
      <c r="G38" s="60" t="n"/>
      <c r="H38" s="61" t="n"/>
      <c r="I38" s="60" t="n"/>
      <c r="J38" s="62" t="n"/>
      <c r="K38" s="52" t="n"/>
      <c r="L38" s="63">
        <f>IF(OR(B38="",H38="",E38="Done"),"",ROUNDDOWN(H38-NOW(),0))</f>
        <v/>
      </c>
      <c r="M38" s="58">
        <f>IF(B38="","",IF(E38="Done","Complete",IF(E38="Blocked","Blocked",IF(H38="","No due date",IF(H38&lt;NOW(),"Overdue",IF(H38-NOW()&lt;=3,"Due soon","On track"))))))</f>
        <v/>
      </c>
      <c r="N38" s="51" t="n"/>
      <c r="O38" s="65" t="n"/>
      <c r="P38" s="64">
        <f>IF(OR(B38="",E38="Done",H38=""),"",H38+ROW()/10000000)</f>
        <v/>
      </c>
    </row>
    <row r="39">
      <c r="A39" s="58">
        <f>IF(B39="","","T-"&amp;TEXT(ROW()-5,"000"))</f>
        <v/>
      </c>
      <c r="B39" s="65" t="n"/>
      <c r="C39" s="51" t="n"/>
      <c r="D39" s="51" t="n"/>
      <c r="E39" s="51" t="n"/>
      <c r="F39" s="51" t="n"/>
      <c r="G39" s="60" t="n"/>
      <c r="H39" s="61" t="n"/>
      <c r="I39" s="60" t="n"/>
      <c r="J39" s="62" t="n"/>
      <c r="K39" s="52" t="n"/>
      <c r="L39" s="63">
        <f>IF(OR(B39="",H39="",E39="Done"),"",ROUNDDOWN(H39-NOW(),0))</f>
        <v/>
      </c>
      <c r="M39" s="58">
        <f>IF(B39="","",IF(E39="Done","Complete",IF(E39="Blocked","Blocked",IF(H39="","No due date",IF(H39&lt;NOW(),"Overdue",IF(H39-NOW()&lt;=3,"Due soon","On track"))))))</f>
        <v/>
      </c>
      <c r="N39" s="51" t="n"/>
      <c r="O39" s="65" t="n"/>
      <c r="P39" s="64">
        <f>IF(OR(B39="",E39="Done",H39=""),"",H39+ROW()/10000000)</f>
        <v/>
      </c>
    </row>
    <row r="40">
      <c r="A40" s="58">
        <f>IF(B40="","","T-"&amp;TEXT(ROW()-5,"000"))</f>
        <v/>
      </c>
      <c r="B40" s="65" t="n"/>
      <c r="C40" s="51" t="n"/>
      <c r="D40" s="51" t="n"/>
      <c r="E40" s="51" t="n"/>
      <c r="F40" s="51" t="n"/>
      <c r="G40" s="60" t="n"/>
      <c r="H40" s="61" t="n"/>
      <c r="I40" s="60" t="n"/>
      <c r="J40" s="62" t="n"/>
      <c r="K40" s="52" t="n"/>
      <c r="L40" s="63">
        <f>IF(OR(B40="",H40="",E40="Done"),"",ROUNDDOWN(H40-NOW(),0))</f>
        <v/>
      </c>
      <c r="M40" s="58">
        <f>IF(B40="","",IF(E40="Done","Complete",IF(E40="Blocked","Blocked",IF(H40="","No due date",IF(H40&lt;NOW(),"Overdue",IF(H40-NOW()&lt;=3,"Due soon","On track"))))))</f>
        <v/>
      </c>
      <c r="N40" s="51" t="n"/>
      <c r="O40" s="65" t="n"/>
      <c r="P40" s="64">
        <f>IF(OR(B40="",E40="Done",H40=""),"",H40+ROW()/10000000)</f>
        <v/>
      </c>
    </row>
    <row r="41">
      <c r="A41" s="58">
        <f>IF(B41="","","T-"&amp;TEXT(ROW()-5,"000"))</f>
        <v/>
      </c>
      <c r="B41" s="65" t="n"/>
      <c r="C41" s="51" t="n"/>
      <c r="D41" s="51" t="n"/>
      <c r="E41" s="51" t="n"/>
      <c r="F41" s="51" t="n"/>
      <c r="G41" s="60" t="n"/>
      <c r="H41" s="61" t="n"/>
      <c r="I41" s="60" t="n"/>
      <c r="J41" s="62" t="n"/>
      <c r="K41" s="52" t="n"/>
      <c r="L41" s="63">
        <f>IF(OR(B41="",H41="",E41="Done"),"",ROUNDDOWN(H41-NOW(),0))</f>
        <v/>
      </c>
      <c r="M41" s="58">
        <f>IF(B41="","",IF(E41="Done","Complete",IF(E41="Blocked","Blocked",IF(H41="","No due date",IF(H41&lt;NOW(),"Overdue",IF(H41-NOW()&lt;=3,"Due soon","On track"))))))</f>
        <v/>
      </c>
      <c r="N41" s="51" t="n"/>
      <c r="O41" s="65" t="n"/>
      <c r="P41" s="64">
        <f>IF(OR(B41="",E41="Done",H41=""),"",H41+ROW()/10000000)</f>
        <v/>
      </c>
    </row>
    <row r="42">
      <c r="A42" s="58">
        <f>IF(B42="","","T-"&amp;TEXT(ROW()-5,"000"))</f>
        <v/>
      </c>
      <c r="B42" s="65" t="n"/>
      <c r="C42" s="51" t="n"/>
      <c r="D42" s="51" t="n"/>
      <c r="E42" s="51" t="n"/>
      <c r="F42" s="51" t="n"/>
      <c r="G42" s="60" t="n"/>
      <c r="H42" s="61" t="n"/>
      <c r="I42" s="60" t="n"/>
      <c r="J42" s="62" t="n"/>
      <c r="K42" s="52" t="n"/>
      <c r="L42" s="63">
        <f>IF(OR(B42="",H42="",E42="Done"),"",ROUNDDOWN(H42-NOW(),0))</f>
        <v/>
      </c>
      <c r="M42" s="58">
        <f>IF(B42="","",IF(E42="Done","Complete",IF(E42="Blocked","Blocked",IF(H42="","No due date",IF(H42&lt;NOW(),"Overdue",IF(H42-NOW()&lt;=3,"Due soon","On track"))))))</f>
        <v/>
      </c>
      <c r="N42" s="51" t="n"/>
      <c r="O42" s="65" t="n"/>
      <c r="P42" s="64">
        <f>IF(OR(B42="",E42="Done",H42=""),"",H42+ROW()/10000000)</f>
        <v/>
      </c>
    </row>
    <row r="43">
      <c r="A43" s="58">
        <f>IF(B43="","","T-"&amp;TEXT(ROW()-5,"000"))</f>
        <v/>
      </c>
      <c r="B43" s="65" t="n"/>
      <c r="C43" s="51" t="n"/>
      <c r="D43" s="51" t="n"/>
      <c r="E43" s="51" t="n"/>
      <c r="F43" s="51" t="n"/>
      <c r="G43" s="60" t="n"/>
      <c r="H43" s="61" t="n"/>
      <c r="I43" s="60" t="n"/>
      <c r="J43" s="62" t="n"/>
      <c r="K43" s="52" t="n"/>
      <c r="L43" s="63">
        <f>IF(OR(B43="",H43="",E43="Done"),"",ROUNDDOWN(H43-NOW(),0))</f>
        <v/>
      </c>
      <c r="M43" s="58">
        <f>IF(B43="","",IF(E43="Done","Complete",IF(E43="Blocked","Blocked",IF(H43="","No due date",IF(H43&lt;NOW(),"Overdue",IF(H43-NOW()&lt;=3,"Due soon","On track"))))))</f>
        <v/>
      </c>
      <c r="N43" s="51" t="n"/>
      <c r="O43" s="65" t="n"/>
      <c r="P43" s="64">
        <f>IF(OR(B43="",E43="Done",H43=""),"",H43+ROW()/10000000)</f>
        <v/>
      </c>
    </row>
    <row r="44">
      <c r="A44" s="58">
        <f>IF(B44="","","T-"&amp;TEXT(ROW()-5,"000"))</f>
        <v/>
      </c>
      <c r="B44" s="65" t="n"/>
      <c r="C44" s="51" t="n"/>
      <c r="D44" s="51" t="n"/>
      <c r="E44" s="51" t="n"/>
      <c r="F44" s="51" t="n"/>
      <c r="G44" s="60" t="n"/>
      <c r="H44" s="61" t="n"/>
      <c r="I44" s="60" t="n"/>
      <c r="J44" s="62" t="n"/>
      <c r="K44" s="52" t="n"/>
      <c r="L44" s="63">
        <f>IF(OR(B44="",H44="",E44="Done"),"",ROUNDDOWN(H44-NOW(),0))</f>
        <v/>
      </c>
      <c r="M44" s="58">
        <f>IF(B44="","",IF(E44="Done","Complete",IF(E44="Blocked","Blocked",IF(H44="","No due date",IF(H44&lt;NOW(),"Overdue",IF(H44-NOW()&lt;=3,"Due soon","On track"))))))</f>
        <v/>
      </c>
      <c r="N44" s="51" t="n"/>
      <c r="O44" s="65" t="n"/>
      <c r="P44" s="64">
        <f>IF(OR(B44="",E44="Done",H44=""),"",H44+ROW()/10000000)</f>
        <v/>
      </c>
    </row>
    <row r="45">
      <c r="A45" s="58">
        <f>IF(B45="","","T-"&amp;TEXT(ROW()-5,"000"))</f>
        <v/>
      </c>
      <c r="B45" s="65" t="n"/>
      <c r="C45" s="51" t="n"/>
      <c r="D45" s="51" t="n"/>
      <c r="E45" s="51" t="n"/>
      <c r="F45" s="51" t="n"/>
      <c r="G45" s="60" t="n"/>
      <c r="H45" s="61" t="n"/>
      <c r="I45" s="60" t="n"/>
      <c r="J45" s="62" t="n"/>
      <c r="K45" s="52" t="n"/>
      <c r="L45" s="63">
        <f>IF(OR(B45="",H45="",E45="Done"),"",ROUNDDOWN(H45-NOW(),0))</f>
        <v/>
      </c>
      <c r="M45" s="58">
        <f>IF(B45="","",IF(E45="Done","Complete",IF(E45="Blocked","Blocked",IF(H45="","No due date",IF(H45&lt;NOW(),"Overdue",IF(H45-NOW()&lt;=3,"Due soon","On track"))))))</f>
        <v/>
      </c>
      <c r="N45" s="51" t="n"/>
      <c r="O45" s="65" t="n"/>
      <c r="P45" s="64">
        <f>IF(OR(B45="",E45="Done",H45=""),"",H45+ROW()/10000000)</f>
        <v/>
      </c>
    </row>
    <row r="46">
      <c r="A46" s="58">
        <f>IF(B46="","","T-"&amp;TEXT(ROW()-5,"000"))</f>
        <v/>
      </c>
      <c r="B46" s="65" t="n"/>
      <c r="C46" s="51" t="n"/>
      <c r="D46" s="51" t="n"/>
      <c r="E46" s="51" t="n"/>
      <c r="F46" s="51" t="n"/>
      <c r="G46" s="60" t="n"/>
      <c r="H46" s="61" t="n"/>
      <c r="I46" s="60" t="n"/>
      <c r="J46" s="62" t="n"/>
      <c r="K46" s="52" t="n"/>
      <c r="L46" s="63">
        <f>IF(OR(B46="",H46="",E46="Done"),"",ROUNDDOWN(H46-NOW(),0))</f>
        <v/>
      </c>
      <c r="M46" s="58">
        <f>IF(B46="","",IF(E46="Done","Complete",IF(E46="Blocked","Blocked",IF(H46="","No due date",IF(H46&lt;NOW(),"Overdue",IF(H46-NOW()&lt;=3,"Due soon","On track"))))))</f>
        <v/>
      </c>
      <c r="N46" s="51" t="n"/>
      <c r="O46" s="65" t="n"/>
      <c r="P46" s="64">
        <f>IF(OR(B46="",E46="Done",H46=""),"",H46+ROW()/10000000)</f>
        <v/>
      </c>
    </row>
    <row r="47">
      <c r="A47" s="58">
        <f>IF(B47="","","T-"&amp;TEXT(ROW()-5,"000"))</f>
        <v/>
      </c>
      <c r="B47" s="65" t="n"/>
      <c r="C47" s="51" t="n"/>
      <c r="D47" s="51" t="n"/>
      <c r="E47" s="51" t="n"/>
      <c r="F47" s="51" t="n"/>
      <c r="G47" s="60" t="n"/>
      <c r="H47" s="61" t="n"/>
      <c r="I47" s="60" t="n"/>
      <c r="J47" s="62" t="n"/>
      <c r="K47" s="52" t="n"/>
      <c r="L47" s="63">
        <f>IF(OR(B47="",H47="",E47="Done"),"",ROUNDDOWN(H47-NOW(),0))</f>
        <v/>
      </c>
      <c r="M47" s="58">
        <f>IF(B47="","",IF(E47="Done","Complete",IF(E47="Blocked","Blocked",IF(H47="","No due date",IF(H47&lt;NOW(),"Overdue",IF(H47-NOW()&lt;=3,"Due soon","On track"))))))</f>
        <v/>
      </c>
      <c r="N47" s="51" t="n"/>
      <c r="O47" s="65" t="n"/>
      <c r="P47" s="64">
        <f>IF(OR(B47="",E47="Done",H47=""),"",H47+ROW()/10000000)</f>
        <v/>
      </c>
    </row>
    <row r="48">
      <c r="A48" s="58">
        <f>IF(B48="","","T-"&amp;TEXT(ROW()-5,"000"))</f>
        <v/>
      </c>
      <c r="B48" s="65" t="n"/>
      <c r="C48" s="51" t="n"/>
      <c r="D48" s="51" t="n"/>
      <c r="E48" s="51" t="n"/>
      <c r="F48" s="51" t="n"/>
      <c r="G48" s="60" t="n"/>
      <c r="H48" s="61" t="n"/>
      <c r="I48" s="60" t="n"/>
      <c r="J48" s="62" t="n"/>
      <c r="K48" s="52" t="n"/>
      <c r="L48" s="63">
        <f>IF(OR(B48="",H48="",E48="Done"),"",ROUNDDOWN(H48-NOW(),0))</f>
        <v/>
      </c>
      <c r="M48" s="58">
        <f>IF(B48="","",IF(E48="Done","Complete",IF(E48="Blocked","Blocked",IF(H48="","No due date",IF(H48&lt;NOW(),"Overdue",IF(H48-NOW()&lt;=3,"Due soon","On track"))))))</f>
        <v/>
      </c>
      <c r="N48" s="51" t="n"/>
      <c r="O48" s="65" t="n"/>
      <c r="P48" s="64">
        <f>IF(OR(B48="",E48="Done",H48=""),"",H48+ROW()/10000000)</f>
        <v/>
      </c>
    </row>
    <row r="49">
      <c r="A49" s="58">
        <f>IF(B49="","","T-"&amp;TEXT(ROW()-5,"000"))</f>
        <v/>
      </c>
      <c r="B49" s="65" t="n"/>
      <c r="C49" s="51" t="n"/>
      <c r="D49" s="51" t="n"/>
      <c r="E49" s="51" t="n"/>
      <c r="F49" s="51" t="n"/>
      <c r="G49" s="60" t="n"/>
      <c r="H49" s="61" t="n"/>
      <c r="I49" s="60" t="n"/>
      <c r="J49" s="62" t="n"/>
      <c r="K49" s="52" t="n"/>
      <c r="L49" s="63">
        <f>IF(OR(B49="",H49="",E49="Done"),"",ROUNDDOWN(H49-NOW(),0))</f>
        <v/>
      </c>
      <c r="M49" s="58">
        <f>IF(B49="","",IF(E49="Done","Complete",IF(E49="Blocked","Blocked",IF(H49="","No due date",IF(H49&lt;NOW(),"Overdue",IF(H49-NOW()&lt;=3,"Due soon","On track"))))))</f>
        <v/>
      </c>
      <c r="N49" s="51" t="n"/>
      <c r="O49" s="65" t="n"/>
      <c r="P49" s="64">
        <f>IF(OR(B49="",E49="Done",H49=""),"",H49+ROW()/10000000)</f>
        <v/>
      </c>
    </row>
    <row r="50">
      <c r="A50" s="58">
        <f>IF(B50="","","T-"&amp;TEXT(ROW()-5,"000"))</f>
        <v/>
      </c>
      <c r="B50" s="65" t="n"/>
      <c r="C50" s="51" t="n"/>
      <c r="D50" s="51" t="n"/>
      <c r="E50" s="51" t="n"/>
      <c r="F50" s="51" t="n"/>
      <c r="G50" s="60" t="n"/>
      <c r="H50" s="61" t="n"/>
      <c r="I50" s="60" t="n"/>
      <c r="J50" s="62" t="n"/>
      <c r="K50" s="52" t="n"/>
      <c r="L50" s="63">
        <f>IF(OR(B50="",H50="",E50="Done"),"",ROUNDDOWN(H50-NOW(),0))</f>
        <v/>
      </c>
      <c r="M50" s="58">
        <f>IF(B50="","",IF(E50="Done","Complete",IF(E50="Blocked","Blocked",IF(H50="","No due date",IF(H50&lt;NOW(),"Overdue",IF(H50-NOW()&lt;=3,"Due soon","On track"))))))</f>
        <v/>
      </c>
      <c r="N50" s="51" t="n"/>
      <c r="O50" s="65" t="n"/>
      <c r="P50" s="64">
        <f>IF(OR(B50="",E50="Done",H50=""),"",H50+ROW()/10000000)</f>
        <v/>
      </c>
    </row>
    <row r="51">
      <c r="A51" s="58">
        <f>IF(B51="","","T-"&amp;TEXT(ROW()-5,"000"))</f>
        <v/>
      </c>
      <c r="B51" s="65" t="n"/>
      <c r="C51" s="51" t="n"/>
      <c r="D51" s="51" t="n"/>
      <c r="E51" s="51" t="n"/>
      <c r="F51" s="51" t="n"/>
      <c r="G51" s="60" t="n"/>
      <c r="H51" s="61" t="n"/>
      <c r="I51" s="60" t="n"/>
      <c r="J51" s="62" t="n"/>
      <c r="K51" s="52" t="n"/>
      <c r="L51" s="63">
        <f>IF(OR(B51="",H51="",E51="Done"),"",ROUNDDOWN(H51-NOW(),0))</f>
        <v/>
      </c>
      <c r="M51" s="58">
        <f>IF(B51="","",IF(E51="Done","Complete",IF(E51="Blocked","Blocked",IF(H51="","No due date",IF(H51&lt;NOW(),"Overdue",IF(H51-NOW()&lt;=3,"Due soon","On track"))))))</f>
        <v/>
      </c>
      <c r="N51" s="51" t="n"/>
      <c r="O51" s="65" t="n"/>
      <c r="P51" s="64">
        <f>IF(OR(B51="",E51="Done",H51=""),"",H51+ROW()/10000000)</f>
        <v/>
      </c>
    </row>
    <row r="52">
      <c r="A52" s="58">
        <f>IF(B52="","","T-"&amp;TEXT(ROW()-5,"000"))</f>
        <v/>
      </c>
      <c r="B52" s="65" t="n"/>
      <c r="C52" s="51" t="n"/>
      <c r="D52" s="51" t="n"/>
      <c r="E52" s="51" t="n"/>
      <c r="F52" s="51" t="n"/>
      <c r="G52" s="60" t="n"/>
      <c r="H52" s="61" t="n"/>
      <c r="I52" s="60" t="n"/>
      <c r="J52" s="62" t="n"/>
      <c r="K52" s="52" t="n"/>
      <c r="L52" s="63">
        <f>IF(OR(B52="",H52="",E52="Done"),"",ROUNDDOWN(H52-NOW(),0))</f>
        <v/>
      </c>
      <c r="M52" s="58">
        <f>IF(B52="","",IF(E52="Done","Complete",IF(E52="Blocked","Blocked",IF(H52="","No due date",IF(H52&lt;NOW(),"Overdue",IF(H52-NOW()&lt;=3,"Due soon","On track"))))))</f>
        <v/>
      </c>
      <c r="N52" s="51" t="n"/>
      <c r="O52" s="65" t="n"/>
      <c r="P52" s="64">
        <f>IF(OR(B52="",E52="Done",H52=""),"",H52+ROW()/10000000)</f>
        <v/>
      </c>
    </row>
    <row r="53">
      <c r="A53" s="58">
        <f>IF(B53="","","T-"&amp;TEXT(ROW()-5,"000"))</f>
        <v/>
      </c>
      <c r="B53" s="65" t="n"/>
      <c r="C53" s="51" t="n"/>
      <c r="D53" s="51" t="n"/>
      <c r="E53" s="51" t="n"/>
      <c r="F53" s="51" t="n"/>
      <c r="G53" s="60" t="n"/>
      <c r="H53" s="61" t="n"/>
      <c r="I53" s="60" t="n"/>
      <c r="J53" s="62" t="n"/>
      <c r="K53" s="52" t="n"/>
      <c r="L53" s="63">
        <f>IF(OR(B53="",H53="",E53="Done"),"",ROUNDDOWN(H53-NOW(),0))</f>
        <v/>
      </c>
      <c r="M53" s="58">
        <f>IF(B53="","",IF(E53="Done","Complete",IF(E53="Blocked","Blocked",IF(H53="","No due date",IF(H53&lt;NOW(),"Overdue",IF(H53-NOW()&lt;=3,"Due soon","On track"))))))</f>
        <v/>
      </c>
      <c r="N53" s="51" t="n"/>
      <c r="O53" s="65" t="n"/>
      <c r="P53" s="64">
        <f>IF(OR(B53="",E53="Done",H53=""),"",H53+ROW()/10000000)</f>
        <v/>
      </c>
    </row>
    <row r="54">
      <c r="A54" s="58">
        <f>IF(B54="","","T-"&amp;TEXT(ROW()-5,"000"))</f>
        <v/>
      </c>
      <c r="B54" s="65" t="n"/>
      <c r="C54" s="51" t="n"/>
      <c r="D54" s="51" t="n"/>
      <c r="E54" s="51" t="n"/>
      <c r="F54" s="51" t="n"/>
      <c r="G54" s="60" t="n"/>
      <c r="H54" s="61" t="n"/>
      <c r="I54" s="60" t="n"/>
      <c r="J54" s="62" t="n"/>
      <c r="K54" s="52" t="n"/>
      <c r="L54" s="63">
        <f>IF(OR(B54="",H54="",E54="Done"),"",ROUNDDOWN(H54-NOW(),0))</f>
        <v/>
      </c>
      <c r="M54" s="58">
        <f>IF(B54="","",IF(E54="Done","Complete",IF(E54="Blocked","Blocked",IF(H54="","No due date",IF(H54&lt;NOW(),"Overdue",IF(H54-NOW()&lt;=3,"Due soon","On track"))))))</f>
        <v/>
      </c>
      <c r="N54" s="51" t="n"/>
      <c r="O54" s="65" t="n"/>
      <c r="P54" s="64">
        <f>IF(OR(B54="",E54="Done",H54=""),"",H54+ROW()/10000000)</f>
        <v/>
      </c>
    </row>
    <row r="55">
      <c r="A55" s="58">
        <f>IF(B55="","","T-"&amp;TEXT(ROW()-5,"000"))</f>
        <v/>
      </c>
      <c r="B55" s="65" t="n"/>
      <c r="C55" s="51" t="n"/>
      <c r="D55" s="51" t="n"/>
      <c r="E55" s="51" t="n"/>
      <c r="F55" s="51" t="n"/>
      <c r="G55" s="60" t="n"/>
      <c r="H55" s="61" t="n"/>
      <c r="I55" s="60" t="n"/>
      <c r="J55" s="62" t="n"/>
      <c r="K55" s="52" t="n"/>
      <c r="L55" s="63">
        <f>IF(OR(B55="",H55="",E55="Done"),"",ROUNDDOWN(H55-NOW(),0))</f>
        <v/>
      </c>
      <c r="M55" s="58">
        <f>IF(B55="","",IF(E55="Done","Complete",IF(E55="Blocked","Blocked",IF(H55="","No due date",IF(H55&lt;NOW(),"Overdue",IF(H55-NOW()&lt;=3,"Due soon","On track"))))))</f>
        <v/>
      </c>
      <c r="N55" s="51" t="n"/>
      <c r="O55" s="65" t="n"/>
      <c r="P55" s="64">
        <f>IF(OR(B55="",E55="Done",H55=""),"",H55+ROW()/10000000)</f>
        <v/>
      </c>
    </row>
    <row r="56">
      <c r="A56" s="58">
        <f>IF(B56="","","T-"&amp;TEXT(ROW()-5,"000"))</f>
        <v/>
      </c>
      <c r="B56" s="65" t="n"/>
      <c r="C56" s="51" t="n"/>
      <c r="D56" s="51" t="n"/>
      <c r="E56" s="51" t="n"/>
      <c r="F56" s="51" t="n"/>
      <c r="G56" s="60" t="n"/>
      <c r="H56" s="61" t="n"/>
      <c r="I56" s="60" t="n"/>
      <c r="J56" s="62" t="n"/>
      <c r="K56" s="52" t="n"/>
      <c r="L56" s="63">
        <f>IF(OR(B56="",H56="",E56="Done"),"",ROUNDDOWN(H56-NOW(),0))</f>
        <v/>
      </c>
      <c r="M56" s="58">
        <f>IF(B56="","",IF(E56="Done","Complete",IF(E56="Blocked","Blocked",IF(H56="","No due date",IF(H56&lt;NOW(),"Overdue",IF(H56-NOW()&lt;=3,"Due soon","On track"))))))</f>
        <v/>
      </c>
      <c r="N56" s="51" t="n"/>
      <c r="O56" s="65" t="n"/>
      <c r="P56" s="64">
        <f>IF(OR(B56="",E56="Done",H56=""),"",H56+ROW()/10000000)</f>
        <v/>
      </c>
    </row>
    <row r="57">
      <c r="A57" s="58">
        <f>IF(B57="","","T-"&amp;TEXT(ROW()-5,"000"))</f>
        <v/>
      </c>
      <c r="B57" s="65" t="n"/>
      <c r="C57" s="51" t="n"/>
      <c r="D57" s="51" t="n"/>
      <c r="E57" s="51" t="n"/>
      <c r="F57" s="51" t="n"/>
      <c r="G57" s="60" t="n"/>
      <c r="H57" s="61" t="n"/>
      <c r="I57" s="60" t="n"/>
      <c r="J57" s="62" t="n"/>
      <c r="K57" s="52" t="n"/>
      <c r="L57" s="63">
        <f>IF(OR(B57="",H57="",E57="Done"),"",ROUNDDOWN(H57-NOW(),0))</f>
        <v/>
      </c>
      <c r="M57" s="58">
        <f>IF(B57="","",IF(E57="Done","Complete",IF(E57="Blocked","Blocked",IF(H57="","No due date",IF(H57&lt;NOW(),"Overdue",IF(H57-NOW()&lt;=3,"Due soon","On track"))))))</f>
        <v/>
      </c>
      <c r="N57" s="51" t="n"/>
      <c r="O57" s="65" t="n"/>
      <c r="P57" s="64">
        <f>IF(OR(B57="",E57="Done",H57=""),"",H57+ROW()/10000000)</f>
        <v/>
      </c>
    </row>
    <row r="58">
      <c r="A58" s="58">
        <f>IF(B58="","","T-"&amp;TEXT(ROW()-5,"000"))</f>
        <v/>
      </c>
      <c r="B58" s="65" t="n"/>
      <c r="C58" s="51" t="n"/>
      <c r="D58" s="51" t="n"/>
      <c r="E58" s="51" t="n"/>
      <c r="F58" s="51" t="n"/>
      <c r="G58" s="60" t="n"/>
      <c r="H58" s="61" t="n"/>
      <c r="I58" s="60" t="n"/>
      <c r="J58" s="62" t="n"/>
      <c r="K58" s="52" t="n"/>
      <c r="L58" s="63">
        <f>IF(OR(B58="",H58="",E58="Done"),"",ROUNDDOWN(H58-NOW(),0))</f>
        <v/>
      </c>
      <c r="M58" s="58">
        <f>IF(B58="","",IF(E58="Done","Complete",IF(E58="Blocked","Blocked",IF(H58="","No due date",IF(H58&lt;NOW(),"Overdue",IF(H58-NOW()&lt;=3,"Due soon","On track"))))))</f>
        <v/>
      </c>
      <c r="N58" s="51" t="n"/>
      <c r="O58" s="65" t="n"/>
      <c r="P58" s="64">
        <f>IF(OR(B58="",E58="Done",H58=""),"",H58+ROW()/10000000)</f>
        <v/>
      </c>
    </row>
    <row r="59">
      <c r="A59" s="58">
        <f>IF(B59="","","T-"&amp;TEXT(ROW()-5,"000"))</f>
        <v/>
      </c>
      <c r="B59" s="65" t="n"/>
      <c r="C59" s="51" t="n"/>
      <c r="D59" s="51" t="n"/>
      <c r="E59" s="51" t="n"/>
      <c r="F59" s="51" t="n"/>
      <c r="G59" s="60" t="n"/>
      <c r="H59" s="61" t="n"/>
      <c r="I59" s="60" t="n"/>
      <c r="J59" s="62" t="n"/>
      <c r="K59" s="52" t="n"/>
      <c r="L59" s="63">
        <f>IF(OR(B59="",H59="",E59="Done"),"",ROUNDDOWN(H59-NOW(),0))</f>
        <v/>
      </c>
      <c r="M59" s="58">
        <f>IF(B59="","",IF(E59="Done","Complete",IF(E59="Blocked","Blocked",IF(H59="","No due date",IF(H59&lt;NOW(),"Overdue",IF(H59-NOW()&lt;=3,"Due soon","On track"))))))</f>
        <v/>
      </c>
      <c r="N59" s="51" t="n"/>
      <c r="O59" s="65" t="n"/>
      <c r="P59" s="64">
        <f>IF(OR(B59="",E59="Done",H59=""),"",H59+ROW()/10000000)</f>
        <v/>
      </c>
    </row>
    <row r="60">
      <c r="A60" s="58">
        <f>IF(B60="","","T-"&amp;TEXT(ROW()-5,"000"))</f>
        <v/>
      </c>
      <c r="B60" s="65" t="n"/>
      <c r="C60" s="51" t="n"/>
      <c r="D60" s="51" t="n"/>
      <c r="E60" s="51" t="n"/>
      <c r="F60" s="51" t="n"/>
      <c r="G60" s="60" t="n"/>
      <c r="H60" s="61" t="n"/>
      <c r="I60" s="60" t="n"/>
      <c r="J60" s="62" t="n"/>
      <c r="K60" s="52" t="n"/>
      <c r="L60" s="63">
        <f>IF(OR(B60="",H60="",E60="Done"),"",ROUNDDOWN(H60-NOW(),0))</f>
        <v/>
      </c>
      <c r="M60" s="58">
        <f>IF(B60="","",IF(E60="Done","Complete",IF(E60="Blocked","Blocked",IF(H60="","No due date",IF(H60&lt;NOW(),"Overdue",IF(H60-NOW()&lt;=3,"Due soon","On track"))))))</f>
        <v/>
      </c>
      <c r="N60" s="51" t="n"/>
      <c r="O60" s="65" t="n"/>
      <c r="P60" s="64">
        <f>IF(OR(B60="",E60="Done",H60=""),"",H60+ROW()/10000000)</f>
        <v/>
      </c>
    </row>
    <row r="61">
      <c r="A61" s="58">
        <f>IF(B61="","","T-"&amp;TEXT(ROW()-5,"000"))</f>
        <v/>
      </c>
      <c r="B61" s="65" t="n"/>
      <c r="C61" s="51" t="n"/>
      <c r="D61" s="51" t="n"/>
      <c r="E61" s="51" t="n"/>
      <c r="F61" s="51" t="n"/>
      <c r="G61" s="60" t="n"/>
      <c r="H61" s="61" t="n"/>
      <c r="I61" s="60" t="n"/>
      <c r="J61" s="62" t="n"/>
      <c r="K61" s="52" t="n"/>
      <c r="L61" s="63">
        <f>IF(OR(B61="",H61="",E61="Done"),"",ROUNDDOWN(H61-NOW(),0))</f>
        <v/>
      </c>
      <c r="M61" s="58">
        <f>IF(B61="","",IF(E61="Done","Complete",IF(E61="Blocked","Blocked",IF(H61="","No due date",IF(H61&lt;NOW(),"Overdue",IF(H61-NOW()&lt;=3,"Due soon","On track"))))))</f>
        <v/>
      </c>
      <c r="N61" s="51" t="n"/>
      <c r="O61" s="65" t="n"/>
      <c r="P61" s="64">
        <f>IF(OR(B61="",E61="Done",H61=""),"",H61+ROW()/10000000)</f>
        <v/>
      </c>
    </row>
    <row r="62">
      <c r="A62" s="58">
        <f>IF(B62="","","T-"&amp;TEXT(ROW()-5,"000"))</f>
        <v/>
      </c>
      <c r="B62" s="65" t="n"/>
      <c r="C62" s="51" t="n"/>
      <c r="D62" s="51" t="n"/>
      <c r="E62" s="51" t="n"/>
      <c r="F62" s="51" t="n"/>
      <c r="G62" s="60" t="n"/>
      <c r="H62" s="61" t="n"/>
      <c r="I62" s="60" t="n"/>
      <c r="J62" s="62" t="n"/>
      <c r="K62" s="52" t="n"/>
      <c r="L62" s="63">
        <f>IF(OR(B62="",H62="",E62="Done"),"",ROUNDDOWN(H62-NOW(),0))</f>
        <v/>
      </c>
      <c r="M62" s="58">
        <f>IF(B62="","",IF(E62="Done","Complete",IF(E62="Blocked","Blocked",IF(H62="","No due date",IF(H62&lt;NOW(),"Overdue",IF(H62-NOW()&lt;=3,"Due soon","On track"))))))</f>
        <v/>
      </c>
      <c r="N62" s="51" t="n"/>
      <c r="O62" s="65" t="n"/>
      <c r="P62" s="64">
        <f>IF(OR(B62="",E62="Done",H62=""),"",H62+ROW()/10000000)</f>
        <v/>
      </c>
    </row>
    <row r="63">
      <c r="A63" s="58">
        <f>IF(B63="","","T-"&amp;TEXT(ROW()-5,"000"))</f>
        <v/>
      </c>
      <c r="B63" s="65" t="n"/>
      <c r="C63" s="51" t="n"/>
      <c r="D63" s="51" t="n"/>
      <c r="E63" s="51" t="n"/>
      <c r="F63" s="51" t="n"/>
      <c r="G63" s="60" t="n"/>
      <c r="H63" s="61" t="n"/>
      <c r="I63" s="60" t="n"/>
      <c r="J63" s="62" t="n"/>
      <c r="K63" s="52" t="n"/>
      <c r="L63" s="63">
        <f>IF(OR(B63="",H63="",E63="Done"),"",ROUNDDOWN(H63-NOW(),0))</f>
        <v/>
      </c>
      <c r="M63" s="58">
        <f>IF(B63="","",IF(E63="Done","Complete",IF(E63="Blocked","Blocked",IF(H63="","No due date",IF(H63&lt;NOW(),"Overdue",IF(H63-NOW()&lt;=3,"Due soon","On track"))))))</f>
        <v/>
      </c>
      <c r="N63" s="51" t="n"/>
      <c r="O63" s="65" t="n"/>
      <c r="P63" s="64">
        <f>IF(OR(B63="",E63="Done",H63=""),"",H63+ROW()/10000000)</f>
        <v/>
      </c>
    </row>
    <row r="64">
      <c r="A64" s="58">
        <f>IF(B64="","","T-"&amp;TEXT(ROW()-5,"000"))</f>
        <v/>
      </c>
      <c r="B64" s="65" t="n"/>
      <c r="C64" s="51" t="n"/>
      <c r="D64" s="51" t="n"/>
      <c r="E64" s="51" t="n"/>
      <c r="F64" s="51" t="n"/>
      <c r="G64" s="60" t="n"/>
      <c r="H64" s="61" t="n"/>
      <c r="I64" s="60" t="n"/>
      <c r="J64" s="62" t="n"/>
      <c r="K64" s="52" t="n"/>
      <c r="L64" s="63">
        <f>IF(OR(B64="",H64="",E64="Done"),"",ROUNDDOWN(H64-NOW(),0))</f>
        <v/>
      </c>
      <c r="M64" s="58">
        <f>IF(B64="","",IF(E64="Done","Complete",IF(E64="Blocked","Blocked",IF(H64="","No due date",IF(H64&lt;NOW(),"Overdue",IF(H64-NOW()&lt;=3,"Due soon","On track"))))))</f>
        <v/>
      </c>
      <c r="N64" s="51" t="n"/>
      <c r="O64" s="65" t="n"/>
      <c r="P64" s="64">
        <f>IF(OR(B64="",E64="Done",H64=""),"",H64+ROW()/10000000)</f>
        <v/>
      </c>
    </row>
    <row r="65">
      <c r="A65" s="58">
        <f>IF(B65="","","T-"&amp;TEXT(ROW()-5,"000"))</f>
        <v/>
      </c>
      <c r="B65" s="65" t="n"/>
      <c r="C65" s="51" t="n"/>
      <c r="D65" s="51" t="n"/>
      <c r="E65" s="51" t="n"/>
      <c r="F65" s="51" t="n"/>
      <c r="G65" s="60" t="n"/>
      <c r="H65" s="61" t="n"/>
      <c r="I65" s="60" t="n"/>
      <c r="J65" s="62" t="n"/>
      <c r="K65" s="52" t="n"/>
      <c r="L65" s="63">
        <f>IF(OR(B65="",H65="",E65="Done"),"",ROUNDDOWN(H65-NOW(),0))</f>
        <v/>
      </c>
      <c r="M65" s="58">
        <f>IF(B65="","",IF(E65="Done","Complete",IF(E65="Blocked","Blocked",IF(H65="","No due date",IF(H65&lt;NOW(),"Overdue",IF(H65-NOW()&lt;=3,"Due soon","On track"))))))</f>
        <v/>
      </c>
      <c r="N65" s="51" t="n"/>
      <c r="O65" s="65" t="n"/>
      <c r="P65" s="64">
        <f>IF(OR(B65="",E65="Done",H65=""),"",H65+ROW()/10000000)</f>
        <v/>
      </c>
    </row>
    <row r="66">
      <c r="A66" s="58">
        <f>IF(B66="","","T-"&amp;TEXT(ROW()-5,"000"))</f>
        <v/>
      </c>
      <c r="B66" s="65" t="n"/>
      <c r="C66" s="51" t="n"/>
      <c r="D66" s="51" t="n"/>
      <c r="E66" s="51" t="n"/>
      <c r="F66" s="51" t="n"/>
      <c r="G66" s="60" t="n"/>
      <c r="H66" s="61" t="n"/>
      <c r="I66" s="60" t="n"/>
      <c r="J66" s="62" t="n"/>
      <c r="K66" s="52" t="n"/>
      <c r="L66" s="63">
        <f>IF(OR(B66="",H66="",E66="Done"),"",ROUNDDOWN(H66-NOW(),0))</f>
        <v/>
      </c>
      <c r="M66" s="58">
        <f>IF(B66="","",IF(E66="Done","Complete",IF(E66="Blocked","Blocked",IF(H66="","No due date",IF(H66&lt;NOW(),"Overdue",IF(H66-NOW()&lt;=3,"Due soon","On track"))))))</f>
        <v/>
      </c>
      <c r="N66" s="51" t="n"/>
      <c r="O66" s="65" t="n"/>
      <c r="P66" s="64">
        <f>IF(OR(B66="",E66="Done",H66=""),"",H66+ROW()/10000000)</f>
        <v/>
      </c>
    </row>
    <row r="67">
      <c r="A67" s="58">
        <f>IF(B67="","","T-"&amp;TEXT(ROW()-5,"000"))</f>
        <v/>
      </c>
      <c r="B67" s="65" t="n"/>
      <c r="C67" s="51" t="n"/>
      <c r="D67" s="51" t="n"/>
      <c r="E67" s="51" t="n"/>
      <c r="F67" s="51" t="n"/>
      <c r="G67" s="60" t="n"/>
      <c r="H67" s="61" t="n"/>
      <c r="I67" s="60" t="n"/>
      <c r="J67" s="62" t="n"/>
      <c r="K67" s="52" t="n"/>
      <c r="L67" s="63">
        <f>IF(OR(B67="",H67="",E67="Done"),"",ROUNDDOWN(H67-NOW(),0))</f>
        <v/>
      </c>
      <c r="M67" s="58">
        <f>IF(B67="","",IF(E67="Done","Complete",IF(E67="Blocked","Blocked",IF(H67="","No due date",IF(H67&lt;NOW(),"Overdue",IF(H67-NOW()&lt;=3,"Due soon","On track"))))))</f>
        <v/>
      </c>
      <c r="N67" s="51" t="n"/>
      <c r="O67" s="65" t="n"/>
      <c r="P67" s="64">
        <f>IF(OR(B67="",E67="Done",H67=""),"",H67+ROW()/10000000)</f>
        <v/>
      </c>
    </row>
    <row r="68">
      <c r="A68" s="58">
        <f>IF(B68="","","T-"&amp;TEXT(ROW()-5,"000"))</f>
        <v/>
      </c>
      <c r="B68" s="65" t="n"/>
      <c r="C68" s="51" t="n"/>
      <c r="D68" s="51" t="n"/>
      <c r="E68" s="51" t="n"/>
      <c r="F68" s="51" t="n"/>
      <c r="G68" s="60" t="n"/>
      <c r="H68" s="61" t="n"/>
      <c r="I68" s="60" t="n"/>
      <c r="J68" s="62" t="n"/>
      <c r="K68" s="52" t="n"/>
      <c r="L68" s="63">
        <f>IF(OR(B68="",H68="",E68="Done"),"",ROUNDDOWN(H68-NOW(),0))</f>
        <v/>
      </c>
      <c r="M68" s="58">
        <f>IF(B68="","",IF(E68="Done","Complete",IF(E68="Blocked","Blocked",IF(H68="","No due date",IF(H68&lt;NOW(),"Overdue",IF(H68-NOW()&lt;=3,"Due soon","On track"))))))</f>
        <v/>
      </c>
      <c r="N68" s="51" t="n"/>
      <c r="O68" s="65" t="n"/>
      <c r="P68" s="64">
        <f>IF(OR(B68="",E68="Done",H68=""),"",H68+ROW()/10000000)</f>
        <v/>
      </c>
    </row>
    <row r="69">
      <c r="A69" s="58">
        <f>IF(B69="","","T-"&amp;TEXT(ROW()-5,"000"))</f>
        <v/>
      </c>
      <c r="B69" s="65" t="n"/>
      <c r="C69" s="51" t="n"/>
      <c r="D69" s="51" t="n"/>
      <c r="E69" s="51" t="n"/>
      <c r="F69" s="51" t="n"/>
      <c r="G69" s="60" t="n"/>
      <c r="H69" s="61" t="n"/>
      <c r="I69" s="60" t="n"/>
      <c r="J69" s="62" t="n"/>
      <c r="K69" s="52" t="n"/>
      <c r="L69" s="63">
        <f>IF(OR(B69="",H69="",E69="Done"),"",ROUNDDOWN(H69-NOW(),0))</f>
        <v/>
      </c>
      <c r="M69" s="58">
        <f>IF(B69="","",IF(E69="Done","Complete",IF(E69="Blocked","Blocked",IF(H69="","No due date",IF(H69&lt;NOW(),"Overdue",IF(H69-NOW()&lt;=3,"Due soon","On track"))))))</f>
        <v/>
      </c>
      <c r="N69" s="51" t="n"/>
      <c r="O69" s="65" t="n"/>
      <c r="P69" s="64">
        <f>IF(OR(B69="",E69="Done",H69=""),"",H69+ROW()/10000000)</f>
        <v/>
      </c>
    </row>
    <row r="70">
      <c r="A70" s="58">
        <f>IF(B70="","","T-"&amp;TEXT(ROW()-5,"000"))</f>
        <v/>
      </c>
      <c r="B70" s="65" t="n"/>
      <c r="C70" s="51" t="n"/>
      <c r="D70" s="51" t="n"/>
      <c r="E70" s="51" t="n"/>
      <c r="F70" s="51" t="n"/>
      <c r="G70" s="60" t="n"/>
      <c r="H70" s="61" t="n"/>
      <c r="I70" s="60" t="n"/>
      <c r="J70" s="62" t="n"/>
      <c r="K70" s="52" t="n"/>
      <c r="L70" s="63">
        <f>IF(OR(B70="",H70="",E70="Done"),"",ROUNDDOWN(H70-NOW(),0))</f>
        <v/>
      </c>
      <c r="M70" s="58">
        <f>IF(B70="","",IF(E70="Done","Complete",IF(E70="Blocked","Blocked",IF(H70="","No due date",IF(H70&lt;NOW(),"Overdue",IF(H70-NOW()&lt;=3,"Due soon","On track"))))))</f>
        <v/>
      </c>
      <c r="N70" s="51" t="n"/>
      <c r="O70" s="65" t="n"/>
      <c r="P70" s="64">
        <f>IF(OR(B70="",E70="Done",H70=""),"",H70+ROW()/10000000)</f>
        <v/>
      </c>
    </row>
    <row r="71">
      <c r="A71" s="58">
        <f>IF(B71="","","T-"&amp;TEXT(ROW()-5,"000"))</f>
        <v/>
      </c>
      <c r="B71" s="65" t="n"/>
      <c r="C71" s="51" t="n"/>
      <c r="D71" s="51" t="n"/>
      <c r="E71" s="51" t="n"/>
      <c r="F71" s="51" t="n"/>
      <c r="G71" s="60" t="n"/>
      <c r="H71" s="61" t="n"/>
      <c r="I71" s="60" t="n"/>
      <c r="J71" s="62" t="n"/>
      <c r="K71" s="52" t="n"/>
      <c r="L71" s="63">
        <f>IF(OR(B71="",H71="",E71="Done"),"",ROUNDDOWN(H71-NOW(),0))</f>
        <v/>
      </c>
      <c r="M71" s="58">
        <f>IF(B71="","",IF(E71="Done","Complete",IF(E71="Blocked","Blocked",IF(H71="","No due date",IF(H71&lt;NOW(),"Overdue",IF(H71-NOW()&lt;=3,"Due soon","On track"))))))</f>
        <v/>
      </c>
      <c r="N71" s="51" t="n"/>
      <c r="O71" s="65" t="n"/>
      <c r="P71" s="64">
        <f>IF(OR(B71="",E71="Done",H71=""),"",H71+ROW()/10000000)</f>
        <v/>
      </c>
    </row>
    <row r="72">
      <c r="A72" s="58">
        <f>IF(B72="","","T-"&amp;TEXT(ROW()-5,"000"))</f>
        <v/>
      </c>
      <c r="B72" s="65" t="n"/>
      <c r="C72" s="51" t="n"/>
      <c r="D72" s="51" t="n"/>
      <c r="E72" s="51" t="n"/>
      <c r="F72" s="51" t="n"/>
      <c r="G72" s="60" t="n"/>
      <c r="H72" s="61" t="n"/>
      <c r="I72" s="60" t="n"/>
      <c r="J72" s="62" t="n"/>
      <c r="K72" s="52" t="n"/>
      <c r="L72" s="63">
        <f>IF(OR(B72="",H72="",E72="Done"),"",ROUNDDOWN(H72-NOW(),0))</f>
        <v/>
      </c>
      <c r="M72" s="58">
        <f>IF(B72="","",IF(E72="Done","Complete",IF(E72="Blocked","Blocked",IF(H72="","No due date",IF(H72&lt;NOW(),"Overdue",IF(H72-NOW()&lt;=3,"Due soon","On track"))))))</f>
        <v/>
      </c>
      <c r="N72" s="51" t="n"/>
      <c r="O72" s="65" t="n"/>
      <c r="P72" s="64">
        <f>IF(OR(B72="",E72="Done",H72=""),"",H72+ROW()/10000000)</f>
        <v/>
      </c>
    </row>
    <row r="73">
      <c r="A73" s="58">
        <f>IF(B73="","","T-"&amp;TEXT(ROW()-5,"000"))</f>
        <v/>
      </c>
      <c r="B73" s="65" t="n"/>
      <c r="C73" s="51" t="n"/>
      <c r="D73" s="51" t="n"/>
      <c r="E73" s="51" t="n"/>
      <c r="F73" s="51" t="n"/>
      <c r="G73" s="60" t="n"/>
      <c r="H73" s="61" t="n"/>
      <c r="I73" s="60" t="n"/>
      <c r="J73" s="62" t="n"/>
      <c r="K73" s="52" t="n"/>
      <c r="L73" s="63">
        <f>IF(OR(B73="",H73="",E73="Done"),"",ROUNDDOWN(H73-NOW(),0))</f>
        <v/>
      </c>
      <c r="M73" s="58">
        <f>IF(B73="","",IF(E73="Done","Complete",IF(E73="Blocked","Blocked",IF(H73="","No due date",IF(H73&lt;NOW(),"Overdue",IF(H73-NOW()&lt;=3,"Due soon","On track"))))))</f>
        <v/>
      </c>
      <c r="N73" s="51" t="n"/>
      <c r="O73" s="65" t="n"/>
      <c r="P73" s="64">
        <f>IF(OR(B73="",E73="Done",H73=""),"",H73+ROW()/10000000)</f>
        <v/>
      </c>
    </row>
    <row r="74">
      <c r="A74" s="58">
        <f>IF(B74="","","T-"&amp;TEXT(ROW()-5,"000"))</f>
        <v/>
      </c>
      <c r="B74" s="65" t="n"/>
      <c r="C74" s="51" t="n"/>
      <c r="D74" s="51" t="n"/>
      <c r="E74" s="51" t="n"/>
      <c r="F74" s="51" t="n"/>
      <c r="G74" s="60" t="n"/>
      <c r="H74" s="61" t="n"/>
      <c r="I74" s="60" t="n"/>
      <c r="J74" s="62" t="n"/>
      <c r="K74" s="52" t="n"/>
      <c r="L74" s="63">
        <f>IF(OR(B74="",H74="",E74="Done"),"",ROUNDDOWN(H74-NOW(),0))</f>
        <v/>
      </c>
      <c r="M74" s="58">
        <f>IF(B74="","",IF(E74="Done","Complete",IF(E74="Blocked","Blocked",IF(H74="","No due date",IF(H74&lt;NOW(),"Overdue",IF(H74-NOW()&lt;=3,"Due soon","On track"))))))</f>
        <v/>
      </c>
      <c r="N74" s="51" t="n"/>
      <c r="O74" s="65" t="n"/>
      <c r="P74" s="64">
        <f>IF(OR(B74="",E74="Done",H74=""),"",H74+ROW()/10000000)</f>
        <v/>
      </c>
    </row>
    <row r="75">
      <c r="A75" s="58">
        <f>IF(B75="","","T-"&amp;TEXT(ROW()-5,"000"))</f>
        <v/>
      </c>
      <c r="B75" s="65" t="n"/>
      <c r="C75" s="51" t="n"/>
      <c r="D75" s="51" t="n"/>
      <c r="E75" s="51" t="n"/>
      <c r="F75" s="51" t="n"/>
      <c r="G75" s="60" t="n"/>
      <c r="H75" s="61" t="n"/>
      <c r="I75" s="60" t="n"/>
      <c r="J75" s="62" t="n"/>
      <c r="K75" s="52" t="n"/>
      <c r="L75" s="63">
        <f>IF(OR(B75="",H75="",E75="Done"),"",ROUNDDOWN(H75-NOW(),0))</f>
        <v/>
      </c>
      <c r="M75" s="58">
        <f>IF(B75="","",IF(E75="Done","Complete",IF(E75="Blocked","Blocked",IF(H75="","No due date",IF(H75&lt;NOW(),"Overdue",IF(H75-NOW()&lt;=3,"Due soon","On track"))))))</f>
        <v/>
      </c>
      <c r="N75" s="51" t="n"/>
      <c r="O75" s="65" t="n"/>
      <c r="P75" s="64">
        <f>IF(OR(B75="",E75="Done",H75=""),"",H75+ROW()/10000000)</f>
        <v/>
      </c>
    </row>
    <row r="76">
      <c r="A76" s="58">
        <f>IF(B76="","","T-"&amp;TEXT(ROW()-5,"000"))</f>
        <v/>
      </c>
      <c r="B76" s="65" t="n"/>
      <c r="C76" s="51" t="n"/>
      <c r="D76" s="51" t="n"/>
      <c r="E76" s="51" t="n"/>
      <c r="F76" s="51" t="n"/>
      <c r="G76" s="60" t="n"/>
      <c r="H76" s="61" t="n"/>
      <c r="I76" s="60" t="n"/>
      <c r="J76" s="62" t="n"/>
      <c r="K76" s="52" t="n"/>
      <c r="L76" s="63">
        <f>IF(OR(B76="",H76="",E76="Done"),"",ROUNDDOWN(H76-NOW(),0))</f>
        <v/>
      </c>
      <c r="M76" s="58">
        <f>IF(B76="","",IF(E76="Done","Complete",IF(E76="Blocked","Blocked",IF(H76="","No due date",IF(H76&lt;NOW(),"Overdue",IF(H76-NOW()&lt;=3,"Due soon","On track"))))))</f>
        <v/>
      </c>
      <c r="N76" s="51" t="n"/>
      <c r="O76" s="65" t="n"/>
      <c r="P76" s="64">
        <f>IF(OR(B76="",E76="Done",H76=""),"",H76+ROW()/10000000)</f>
        <v/>
      </c>
    </row>
    <row r="77">
      <c r="A77" s="58">
        <f>IF(B77="","","T-"&amp;TEXT(ROW()-5,"000"))</f>
        <v/>
      </c>
      <c r="B77" s="65" t="n"/>
      <c r="C77" s="51" t="n"/>
      <c r="D77" s="51" t="n"/>
      <c r="E77" s="51" t="n"/>
      <c r="F77" s="51" t="n"/>
      <c r="G77" s="60" t="n"/>
      <c r="H77" s="61" t="n"/>
      <c r="I77" s="60" t="n"/>
      <c r="J77" s="62" t="n"/>
      <c r="K77" s="52" t="n"/>
      <c r="L77" s="63">
        <f>IF(OR(B77="",H77="",E77="Done"),"",ROUNDDOWN(H77-NOW(),0))</f>
        <v/>
      </c>
      <c r="M77" s="58">
        <f>IF(B77="","",IF(E77="Done","Complete",IF(E77="Blocked","Blocked",IF(H77="","No due date",IF(H77&lt;NOW(),"Overdue",IF(H77-NOW()&lt;=3,"Due soon","On track"))))))</f>
        <v/>
      </c>
      <c r="N77" s="51" t="n"/>
      <c r="O77" s="65" t="n"/>
      <c r="P77" s="64">
        <f>IF(OR(B77="",E77="Done",H77=""),"",H77+ROW()/10000000)</f>
        <v/>
      </c>
    </row>
    <row r="78">
      <c r="A78" s="58">
        <f>IF(B78="","","T-"&amp;TEXT(ROW()-5,"000"))</f>
        <v/>
      </c>
      <c r="B78" s="65" t="n"/>
      <c r="C78" s="51" t="n"/>
      <c r="D78" s="51" t="n"/>
      <c r="E78" s="51" t="n"/>
      <c r="F78" s="51" t="n"/>
      <c r="G78" s="60" t="n"/>
      <c r="H78" s="61" t="n"/>
      <c r="I78" s="60" t="n"/>
      <c r="J78" s="62" t="n"/>
      <c r="K78" s="52" t="n"/>
      <c r="L78" s="63">
        <f>IF(OR(B78="",H78="",E78="Done"),"",ROUNDDOWN(H78-NOW(),0))</f>
        <v/>
      </c>
      <c r="M78" s="58">
        <f>IF(B78="","",IF(E78="Done","Complete",IF(E78="Blocked","Blocked",IF(H78="","No due date",IF(H78&lt;NOW(),"Overdue",IF(H78-NOW()&lt;=3,"Due soon","On track"))))))</f>
        <v/>
      </c>
      <c r="N78" s="51" t="n"/>
      <c r="O78" s="65" t="n"/>
      <c r="P78" s="64">
        <f>IF(OR(B78="",E78="Done",H78=""),"",H78+ROW()/10000000)</f>
        <v/>
      </c>
    </row>
    <row r="79">
      <c r="A79" s="58">
        <f>IF(B79="","","T-"&amp;TEXT(ROW()-5,"000"))</f>
        <v/>
      </c>
      <c r="B79" s="65" t="n"/>
      <c r="C79" s="51" t="n"/>
      <c r="D79" s="51" t="n"/>
      <c r="E79" s="51" t="n"/>
      <c r="F79" s="51" t="n"/>
      <c r="G79" s="60" t="n"/>
      <c r="H79" s="61" t="n"/>
      <c r="I79" s="60" t="n"/>
      <c r="J79" s="62" t="n"/>
      <c r="K79" s="52" t="n"/>
      <c r="L79" s="63">
        <f>IF(OR(B79="",H79="",E79="Done"),"",ROUNDDOWN(H79-NOW(),0))</f>
        <v/>
      </c>
      <c r="M79" s="58">
        <f>IF(B79="","",IF(E79="Done","Complete",IF(E79="Blocked","Blocked",IF(H79="","No due date",IF(H79&lt;NOW(),"Overdue",IF(H79-NOW()&lt;=3,"Due soon","On track"))))))</f>
        <v/>
      </c>
      <c r="N79" s="51" t="n"/>
      <c r="O79" s="65" t="n"/>
      <c r="P79" s="64">
        <f>IF(OR(B79="",E79="Done",H79=""),"",H79+ROW()/10000000)</f>
        <v/>
      </c>
    </row>
    <row r="80">
      <c r="A80" s="58">
        <f>IF(B80="","","T-"&amp;TEXT(ROW()-5,"000"))</f>
        <v/>
      </c>
      <c r="B80" s="65" t="n"/>
      <c r="C80" s="51" t="n"/>
      <c r="D80" s="51" t="n"/>
      <c r="E80" s="51" t="n"/>
      <c r="F80" s="51" t="n"/>
      <c r="G80" s="60" t="n"/>
      <c r="H80" s="61" t="n"/>
      <c r="I80" s="60" t="n"/>
      <c r="J80" s="62" t="n"/>
      <c r="K80" s="52" t="n"/>
      <c r="L80" s="63">
        <f>IF(OR(B80="",H80="",E80="Done"),"",ROUNDDOWN(H80-NOW(),0))</f>
        <v/>
      </c>
      <c r="M80" s="58">
        <f>IF(B80="","",IF(E80="Done","Complete",IF(E80="Blocked","Blocked",IF(H80="","No due date",IF(H80&lt;NOW(),"Overdue",IF(H80-NOW()&lt;=3,"Due soon","On track"))))))</f>
        <v/>
      </c>
      <c r="N80" s="51" t="n"/>
      <c r="O80" s="65" t="n"/>
      <c r="P80" s="64">
        <f>IF(OR(B80="",E80="Done",H80=""),"",H80+ROW()/10000000)</f>
        <v/>
      </c>
    </row>
    <row r="81">
      <c r="A81" s="58">
        <f>IF(B81="","","T-"&amp;TEXT(ROW()-5,"000"))</f>
        <v/>
      </c>
      <c r="B81" s="65" t="n"/>
      <c r="C81" s="51" t="n"/>
      <c r="D81" s="51" t="n"/>
      <c r="E81" s="51" t="n"/>
      <c r="F81" s="51" t="n"/>
      <c r="G81" s="60" t="n"/>
      <c r="H81" s="61" t="n"/>
      <c r="I81" s="60" t="n"/>
      <c r="J81" s="62" t="n"/>
      <c r="K81" s="52" t="n"/>
      <c r="L81" s="63">
        <f>IF(OR(B81="",H81="",E81="Done"),"",ROUNDDOWN(H81-NOW(),0))</f>
        <v/>
      </c>
      <c r="M81" s="58">
        <f>IF(B81="","",IF(E81="Done","Complete",IF(E81="Blocked","Blocked",IF(H81="","No due date",IF(H81&lt;NOW(),"Overdue",IF(H81-NOW()&lt;=3,"Due soon","On track"))))))</f>
        <v/>
      </c>
      <c r="N81" s="51" t="n"/>
      <c r="O81" s="65" t="n"/>
      <c r="P81" s="64">
        <f>IF(OR(B81="",E81="Done",H81=""),"",H81+ROW()/10000000)</f>
        <v/>
      </c>
    </row>
    <row r="82">
      <c r="A82" s="58">
        <f>IF(B82="","","T-"&amp;TEXT(ROW()-5,"000"))</f>
        <v/>
      </c>
      <c r="B82" s="65" t="n"/>
      <c r="C82" s="51" t="n"/>
      <c r="D82" s="51" t="n"/>
      <c r="E82" s="51" t="n"/>
      <c r="F82" s="51" t="n"/>
      <c r="G82" s="60" t="n"/>
      <c r="H82" s="61" t="n"/>
      <c r="I82" s="60" t="n"/>
      <c r="J82" s="62" t="n"/>
      <c r="K82" s="52" t="n"/>
      <c r="L82" s="63">
        <f>IF(OR(B82="",H82="",E82="Done"),"",ROUNDDOWN(H82-NOW(),0))</f>
        <v/>
      </c>
      <c r="M82" s="58">
        <f>IF(B82="","",IF(E82="Done","Complete",IF(E82="Blocked","Blocked",IF(H82="","No due date",IF(H82&lt;NOW(),"Overdue",IF(H82-NOW()&lt;=3,"Due soon","On track"))))))</f>
        <v/>
      </c>
      <c r="N82" s="51" t="n"/>
      <c r="O82" s="65" t="n"/>
      <c r="P82" s="64">
        <f>IF(OR(B82="",E82="Done",H82=""),"",H82+ROW()/10000000)</f>
        <v/>
      </c>
    </row>
    <row r="83">
      <c r="A83" s="58">
        <f>IF(B83="","","T-"&amp;TEXT(ROW()-5,"000"))</f>
        <v/>
      </c>
      <c r="B83" s="65" t="n"/>
      <c r="C83" s="51" t="n"/>
      <c r="D83" s="51" t="n"/>
      <c r="E83" s="51" t="n"/>
      <c r="F83" s="51" t="n"/>
      <c r="G83" s="60" t="n"/>
      <c r="H83" s="61" t="n"/>
      <c r="I83" s="60" t="n"/>
      <c r="J83" s="62" t="n"/>
      <c r="K83" s="52" t="n"/>
      <c r="L83" s="63">
        <f>IF(OR(B83="",H83="",E83="Done"),"",ROUNDDOWN(H83-NOW(),0))</f>
        <v/>
      </c>
      <c r="M83" s="58">
        <f>IF(B83="","",IF(E83="Done","Complete",IF(E83="Blocked","Blocked",IF(H83="","No due date",IF(H83&lt;NOW(),"Overdue",IF(H83-NOW()&lt;=3,"Due soon","On track"))))))</f>
        <v/>
      </c>
      <c r="N83" s="51" t="n"/>
      <c r="O83" s="65" t="n"/>
      <c r="P83" s="64">
        <f>IF(OR(B83="",E83="Done",H83=""),"",H83+ROW()/10000000)</f>
        <v/>
      </c>
    </row>
    <row r="84">
      <c r="A84" s="58">
        <f>IF(B84="","","T-"&amp;TEXT(ROW()-5,"000"))</f>
        <v/>
      </c>
      <c r="B84" s="65" t="n"/>
      <c r="C84" s="51" t="n"/>
      <c r="D84" s="51" t="n"/>
      <c r="E84" s="51" t="n"/>
      <c r="F84" s="51" t="n"/>
      <c r="G84" s="60" t="n"/>
      <c r="H84" s="61" t="n"/>
      <c r="I84" s="60" t="n"/>
      <c r="J84" s="62" t="n"/>
      <c r="K84" s="52" t="n"/>
      <c r="L84" s="63">
        <f>IF(OR(B84="",H84="",E84="Done"),"",ROUNDDOWN(H84-NOW(),0))</f>
        <v/>
      </c>
      <c r="M84" s="58">
        <f>IF(B84="","",IF(E84="Done","Complete",IF(E84="Blocked","Blocked",IF(H84="","No due date",IF(H84&lt;NOW(),"Overdue",IF(H84-NOW()&lt;=3,"Due soon","On track"))))))</f>
        <v/>
      </c>
      <c r="N84" s="51" t="n"/>
      <c r="O84" s="65" t="n"/>
      <c r="P84" s="64">
        <f>IF(OR(B84="",E84="Done",H84=""),"",H84+ROW()/10000000)</f>
        <v/>
      </c>
    </row>
    <row r="85">
      <c r="A85" s="58">
        <f>IF(B85="","","T-"&amp;TEXT(ROW()-5,"000"))</f>
        <v/>
      </c>
      <c r="B85" s="65" t="n"/>
      <c r="C85" s="51" t="n"/>
      <c r="D85" s="51" t="n"/>
      <c r="E85" s="51" t="n"/>
      <c r="F85" s="51" t="n"/>
      <c r="G85" s="60" t="n"/>
      <c r="H85" s="61" t="n"/>
      <c r="I85" s="60" t="n"/>
      <c r="J85" s="62" t="n"/>
      <c r="K85" s="52" t="n"/>
      <c r="L85" s="63">
        <f>IF(OR(B85="",H85="",E85="Done"),"",ROUNDDOWN(H85-NOW(),0))</f>
        <v/>
      </c>
      <c r="M85" s="58">
        <f>IF(B85="","",IF(E85="Done","Complete",IF(E85="Blocked","Blocked",IF(H85="","No due date",IF(H85&lt;NOW(),"Overdue",IF(H85-NOW()&lt;=3,"Due soon","On track"))))))</f>
        <v/>
      </c>
      <c r="N85" s="51" t="n"/>
      <c r="O85" s="65" t="n"/>
      <c r="P85" s="64">
        <f>IF(OR(B85="",E85="Done",H85=""),"",H85+ROW()/10000000)</f>
        <v/>
      </c>
    </row>
    <row r="86">
      <c r="A86" s="58">
        <f>IF(B86="","","T-"&amp;TEXT(ROW()-5,"000"))</f>
        <v/>
      </c>
      <c r="B86" s="65" t="n"/>
      <c r="C86" s="51" t="n"/>
      <c r="D86" s="51" t="n"/>
      <c r="E86" s="51" t="n"/>
      <c r="F86" s="51" t="n"/>
      <c r="G86" s="60" t="n"/>
      <c r="H86" s="61" t="n"/>
      <c r="I86" s="60" t="n"/>
      <c r="J86" s="62" t="n"/>
      <c r="K86" s="52" t="n"/>
      <c r="L86" s="63">
        <f>IF(OR(B86="",H86="",E86="Done"),"",ROUNDDOWN(H86-NOW(),0))</f>
        <v/>
      </c>
      <c r="M86" s="58">
        <f>IF(B86="","",IF(E86="Done","Complete",IF(E86="Blocked","Blocked",IF(H86="","No due date",IF(H86&lt;NOW(),"Overdue",IF(H86-NOW()&lt;=3,"Due soon","On track"))))))</f>
        <v/>
      </c>
      <c r="N86" s="51" t="n"/>
      <c r="O86" s="65" t="n"/>
      <c r="P86" s="64">
        <f>IF(OR(B86="",E86="Done",H86=""),"",H86+ROW()/10000000)</f>
        <v/>
      </c>
    </row>
    <row r="87">
      <c r="A87" s="58">
        <f>IF(B87="","","T-"&amp;TEXT(ROW()-5,"000"))</f>
        <v/>
      </c>
      <c r="B87" s="65" t="n"/>
      <c r="C87" s="51" t="n"/>
      <c r="D87" s="51" t="n"/>
      <c r="E87" s="51" t="n"/>
      <c r="F87" s="51" t="n"/>
      <c r="G87" s="60" t="n"/>
      <c r="H87" s="61" t="n"/>
      <c r="I87" s="60" t="n"/>
      <c r="J87" s="62" t="n"/>
      <c r="K87" s="52" t="n"/>
      <c r="L87" s="63">
        <f>IF(OR(B87="",H87="",E87="Done"),"",ROUNDDOWN(H87-NOW(),0))</f>
        <v/>
      </c>
      <c r="M87" s="58">
        <f>IF(B87="","",IF(E87="Done","Complete",IF(E87="Blocked","Blocked",IF(H87="","No due date",IF(H87&lt;NOW(),"Overdue",IF(H87-NOW()&lt;=3,"Due soon","On track"))))))</f>
        <v/>
      </c>
      <c r="N87" s="51" t="n"/>
      <c r="O87" s="65" t="n"/>
      <c r="P87" s="64">
        <f>IF(OR(B87="",E87="Done",H87=""),"",H87+ROW()/10000000)</f>
        <v/>
      </c>
    </row>
    <row r="88">
      <c r="A88" s="58">
        <f>IF(B88="","","T-"&amp;TEXT(ROW()-5,"000"))</f>
        <v/>
      </c>
      <c r="B88" s="65" t="n"/>
      <c r="C88" s="51" t="n"/>
      <c r="D88" s="51" t="n"/>
      <c r="E88" s="51" t="n"/>
      <c r="F88" s="51" t="n"/>
      <c r="G88" s="60" t="n"/>
      <c r="H88" s="61" t="n"/>
      <c r="I88" s="60" t="n"/>
      <c r="J88" s="62" t="n"/>
      <c r="K88" s="52" t="n"/>
      <c r="L88" s="63">
        <f>IF(OR(B88="",H88="",E88="Done"),"",ROUNDDOWN(H88-NOW(),0))</f>
        <v/>
      </c>
      <c r="M88" s="58">
        <f>IF(B88="","",IF(E88="Done","Complete",IF(E88="Blocked","Blocked",IF(H88="","No due date",IF(H88&lt;NOW(),"Overdue",IF(H88-NOW()&lt;=3,"Due soon","On track"))))))</f>
        <v/>
      </c>
      <c r="N88" s="51" t="n"/>
      <c r="O88" s="65" t="n"/>
      <c r="P88" s="64">
        <f>IF(OR(B88="",E88="Done",H88=""),"",H88+ROW()/10000000)</f>
        <v/>
      </c>
    </row>
    <row r="89">
      <c r="A89" s="58">
        <f>IF(B89="","","T-"&amp;TEXT(ROW()-5,"000"))</f>
        <v/>
      </c>
      <c r="B89" s="65" t="n"/>
      <c r="C89" s="51" t="n"/>
      <c r="D89" s="51" t="n"/>
      <c r="E89" s="51" t="n"/>
      <c r="F89" s="51" t="n"/>
      <c r="G89" s="60" t="n"/>
      <c r="H89" s="61" t="n"/>
      <c r="I89" s="60" t="n"/>
      <c r="J89" s="62" t="n"/>
      <c r="K89" s="52" t="n"/>
      <c r="L89" s="63">
        <f>IF(OR(B89="",H89="",E89="Done"),"",ROUNDDOWN(H89-NOW(),0))</f>
        <v/>
      </c>
      <c r="M89" s="58">
        <f>IF(B89="","",IF(E89="Done","Complete",IF(E89="Blocked","Blocked",IF(H89="","No due date",IF(H89&lt;NOW(),"Overdue",IF(H89-NOW()&lt;=3,"Due soon","On track"))))))</f>
        <v/>
      </c>
      <c r="N89" s="51" t="n"/>
      <c r="O89" s="65" t="n"/>
      <c r="P89" s="64">
        <f>IF(OR(B89="",E89="Done",H89=""),"",H89+ROW()/10000000)</f>
        <v/>
      </c>
    </row>
    <row r="90">
      <c r="A90" s="58">
        <f>IF(B90="","","T-"&amp;TEXT(ROW()-5,"000"))</f>
        <v/>
      </c>
      <c r="B90" s="65" t="n"/>
      <c r="C90" s="51" t="n"/>
      <c r="D90" s="51" t="n"/>
      <c r="E90" s="51" t="n"/>
      <c r="F90" s="51" t="n"/>
      <c r="G90" s="60" t="n"/>
      <c r="H90" s="61" t="n"/>
      <c r="I90" s="60" t="n"/>
      <c r="J90" s="62" t="n"/>
      <c r="K90" s="52" t="n"/>
      <c r="L90" s="63">
        <f>IF(OR(B90="",H90="",E90="Done"),"",ROUNDDOWN(H90-NOW(),0))</f>
        <v/>
      </c>
      <c r="M90" s="58">
        <f>IF(B90="","",IF(E90="Done","Complete",IF(E90="Blocked","Blocked",IF(H90="","No due date",IF(H90&lt;NOW(),"Overdue",IF(H90-NOW()&lt;=3,"Due soon","On track"))))))</f>
        <v/>
      </c>
      <c r="N90" s="51" t="n"/>
      <c r="O90" s="65" t="n"/>
      <c r="P90" s="64">
        <f>IF(OR(B90="",E90="Done",H90=""),"",H90+ROW()/10000000)</f>
        <v/>
      </c>
    </row>
    <row r="91">
      <c r="A91" s="58">
        <f>IF(B91="","","T-"&amp;TEXT(ROW()-5,"000"))</f>
        <v/>
      </c>
      <c r="B91" s="65" t="n"/>
      <c r="C91" s="51" t="n"/>
      <c r="D91" s="51" t="n"/>
      <c r="E91" s="51" t="n"/>
      <c r="F91" s="51" t="n"/>
      <c r="G91" s="60" t="n"/>
      <c r="H91" s="61" t="n"/>
      <c r="I91" s="60" t="n"/>
      <c r="J91" s="62" t="n"/>
      <c r="K91" s="52" t="n"/>
      <c r="L91" s="63">
        <f>IF(OR(B91="",H91="",E91="Done"),"",ROUNDDOWN(H91-NOW(),0))</f>
        <v/>
      </c>
      <c r="M91" s="58">
        <f>IF(B91="","",IF(E91="Done","Complete",IF(E91="Blocked","Blocked",IF(H91="","No due date",IF(H91&lt;NOW(),"Overdue",IF(H91-NOW()&lt;=3,"Due soon","On track"))))))</f>
        <v/>
      </c>
      <c r="N91" s="51" t="n"/>
      <c r="O91" s="65" t="n"/>
      <c r="P91" s="64">
        <f>IF(OR(B91="",E91="Done",H91=""),"",H91+ROW()/10000000)</f>
        <v/>
      </c>
    </row>
    <row r="92">
      <c r="A92" s="58">
        <f>IF(B92="","","T-"&amp;TEXT(ROW()-5,"000"))</f>
        <v/>
      </c>
      <c r="B92" s="65" t="n"/>
      <c r="C92" s="51" t="n"/>
      <c r="D92" s="51" t="n"/>
      <c r="E92" s="51" t="n"/>
      <c r="F92" s="51" t="n"/>
      <c r="G92" s="60" t="n"/>
      <c r="H92" s="61" t="n"/>
      <c r="I92" s="60" t="n"/>
      <c r="J92" s="62" t="n"/>
      <c r="K92" s="52" t="n"/>
      <c r="L92" s="63">
        <f>IF(OR(B92="",H92="",E92="Done"),"",ROUNDDOWN(H92-NOW(),0))</f>
        <v/>
      </c>
      <c r="M92" s="58">
        <f>IF(B92="","",IF(E92="Done","Complete",IF(E92="Blocked","Blocked",IF(H92="","No due date",IF(H92&lt;NOW(),"Overdue",IF(H92-NOW()&lt;=3,"Due soon","On track"))))))</f>
        <v/>
      </c>
      <c r="N92" s="51" t="n"/>
      <c r="O92" s="65" t="n"/>
      <c r="P92" s="64">
        <f>IF(OR(B92="",E92="Done",H92=""),"",H92+ROW()/10000000)</f>
        <v/>
      </c>
    </row>
    <row r="93">
      <c r="A93" s="58">
        <f>IF(B93="","","T-"&amp;TEXT(ROW()-5,"000"))</f>
        <v/>
      </c>
      <c r="B93" s="65" t="n"/>
      <c r="C93" s="51" t="n"/>
      <c r="D93" s="51" t="n"/>
      <c r="E93" s="51" t="n"/>
      <c r="F93" s="51" t="n"/>
      <c r="G93" s="60" t="n"/>
      <c r="H93" s="61" t="n"/>
      <c r="I93" s="60" t="n"/>
      <c r="J93" s="62" t="n"/>
      <c r="K93" s="52" t="n"/>
      <c r="L93" s="63">
        <f>IF(OR(B93="",H93="",E93="Done"),"",ROUNDDOWN(H93-NOW(),0))</f>
        <v/>
      </c>
      <c r="M93" s="58">
        <f>IF(B93="","",IF(E93="Done","Complete",IF(E93="Blocked","Blocked",IF(H93="","No due date",IF(H93&lt;NOW(),"Overdue",IF(H93-NOW()&lt;=3,"Due soon","On track"))))))</f>
        <v/>
      </c>
      <c r="N93" s="51" t="n"/>
      <c r="O93" s="65" t="n"/>
      <c r="P93" s="64">
        <f>IF(OR(B93="",E93="Done",H93=""),"",H93+ROW()/10000000)</f>
        <v/>
      </c>
    </row>
    <row r="94">
      <c r="A94" s="58">
        <f>IF(B94="","","T-"&amp;TEXT(ROW()-5,"000"))</f>
        <v/>
      </c>
      <c r="B94" s="65" t="n"/>
      <c r="C94" s="51" t="n"/>
      <c r="D94" s="51" t="n"/>
      <c r="E94" s="51" t="n"/>
      <c r="F94" s="51" t="n"/>
      <c r="G94" s="60" t="n"/>
      <c r="H94" s="61" t="n"/>
      <c r="I94" s="60" t="n"/>
      <c r="J94" s="62" t="n"/>
      <c r="K94" s="52" t="n"/>
      <c r="L94" s="63">
        <f>IF(OR(B94="",H94="",E94="Done"),"",ROUNDDOWN(H94-NOW(),0))</f>
        <v/>
      </c>
      <c r="M94" s="58">
        <f>IF(B94="","",IF(E94="Done","Complete",IF(E94="Blocked","Blocked",IF(H94="","No due date",IF(H94&lt;NOW(),"Overdue",IF(H94-NOW()&lt;=3,"Due soon","On track"))))))</f>
        <v/>
      </c>
      <c r="N94" s="51" t="n"/>
      <c r="O94" s="65" t="n"/>
      <c r="P94" s="64">
        <f>IF(OR(B94="",E94="Done",H94=""),"",H94+ROW()/10000000)</f>
        <v/>
      </c>
    </row>
    <row r="95">
      <c r="A95" s="58">
        <f>IF(B95="","","T-"&amp;TEXT(ROW()-5,"000"))</f>
        <v/>
      </c>
      <c r="B95" s="65" t="n"/>
      <c r="C95" s="51" t="n"/>
      <c r="D95" s="51" t="n"/>
      <c r="E95" s="51" t="n"/>
      <c r="F95" s="51" t="n"/>
      <c r="G95" s="60" t="n"/>
      <c r="H95" s="61" t="n"/>
      <c r="I95" s="60" t="n"/>
      <c r="J95" s="62" t="n"/>
      <c r="K95" s="52" t="n"/>
      <c r="L95" s="63">
        <f>IF(OR(B95="",H95="",E95="Done"),"",ROUNDDOWN(H95-NOW(),0))</f>
        <v/>
      </c>
      <c r="M95" s="58">
        <f>IF(B95="","",IF(E95="Done","Complete",IF(E95="Blocked","Blocked",IF(H95="","No due date",IF(H95&lt;NOW(),"Overdue",IF(H95-NOW()&lt;=3,"Due soon","On track"))))))</f>
        <v/>
      </c>
      <c r="N95" s="51" t="n"/>
      <c r="O95" s="65" t="n"/>
      <c r="P95" s="64">
        <f>IF(OR(B95="",E95="Done",H95=""),"",H95+ROW()/10000000)</f>
        <v/>
      </c>
    </row>
    <row r="96">
      <c r="A96" s="58">
        <f>IF(B96="","","T-"&amp;TEXT(ROW()-5,"000"))</f>
        <v/>
      </c>
      <c r="B96" s="65" t="n"/>
      <c r="C96" s="51" t="n"/>
      <c r="D96" s="51" t="n"/>
      <c r="E96" s="51" t="n"/>
      <c r="F96" s="51" t="n"/>
      <c r="G96" s="60" t="n"/>
      <c r="H96" s="61" t="n"/>
      <c r="I96" s="60" t="n"/>
      <c r="J96" s="62" t="n"/>
      <c r="K96" s="52" t="n"/>
      <c r="L96" s="63">
        <f>IF(OR(B96="",H96="",E96="Done"),"",ROUNDDOWN(H96-NOW(),0))</f>
        <v/>
      </c>
      <c r="M96" s="58">
        <f>IF(B96="","",IF(E96="Done","Complete",IF(E96="Blocked","Blocked",IF(H96="","No due date",IF(H96&lt;NOW(),"Overdue",IF(H96-NOW()&lt;=3,"Due soon","On track"))))))</f>
        <v/>
      </c>
      <c r="N96" s="51" t="n"/>
      <c r="O96" s="65" t="n"/>
      <c r="P96" s="64">
        <f>IF(OR(B96="",E96="Done",H96=""),"",H96+ROW()/10000000)</f>
        <v/>
      </c>
    </row>
    <row r="97">
      <c r="A97" s="58">
        <f>IF(B97="","","T-"&amp;TEXT(ROW()-5,"000"))</f>
        <v/>
      </c>
      <c r="B97" s="65" t="n"/>
      <c r="C97" s="51" t="n"/>
      <c r="D97" s="51" t="n"/>
      <c r="E97" s="51" t="n"/>
      <c r="F97" s="51" t="n"/>
      <c r="G97" s="60" t="n"/>
      <c r="H97" s="61" t="n"/>
      <c r="I97" s="60" t="n"/>
      <c r="J97" s="62" t="n"/>
      <c r="K97" s="52" t="n"/>
      <c r="L97" s="63">
        <f>IF(OR(B97="",H97="",E97="Done"),"",ROUNDDOWN(H97-NOW(),0))</f>
        <v/>
      </c>
      <c r="M97" s="58">
        <f>IF(B97="","",IF(E97="Done","Complete",IF(E97="Blocked","Blocked",IF(H97="","No due date",IF(H97&lt;NOW(),"Overdue",IF(H97-NOW()&lt;=3,"Due soon","On track"))))))</f>
        <v/>
      </c>
      <c r="N97" s="51" t="n"/>
      <c r="O97" s="65" t="n"/>
      <c r="P97" s="64">
        <f>IF(OR(B97="",E97="Done",H97=""),"",H97+ROW()/10000000)</f>
        <v/>
      </c>
    </row>
    <row r="98">
      <c r="A98" s="58">
        <f>IF(B98="","","T-"&amp;TEXT(ROW()-5,"000"))</f>
        <v/>
      </c>
      <c r="B98" s="65" t="n"/>
      <c r="C98" s="51" t="n"/>
      <c r="D98" s="51" t="n"/>
      <c r="E98" s="51" t="n"/>
      <c r="F98" s="51" t="n"/>
      <c r="G98" s="60" t="n"/>
      <c r="H98" s="61" t="n"/>
      <c r="I98" s="60" t="n"/>
      <c r="J98" s="62" t="n"/>
      <c r="K98" s="52" t="n"/>
      <c r="L98" s="63">
        <f>IF(OR(B98="",H98="",E98="Done"),"",ROUNDDOWN(H98-NOW(),0))</f>
        <v/>
      </c>
      <c r="M98" s="58">
        <f>IF(B98="","",IF(E98="Done","Complete",IF(E98="Blocked","Blocked",IF(H98="","No due date",IF(H98&lt;NOW(),"Overdue",IF(H98-NOW()&lt;=3,"Due soon","On track"))))))</f>
        <v/>
      </c>
      <c r="N98" s="51" t="n"/>
      <c r="O98" s="65" t="n"/>
      <c r="P98" s="64">
        <f>IF(OR(B98="",E98="Done",H98=""),"",H98+ROW()/10000000)</f>
        <v/>
      </c>
    </row>
    <row r="99">
      <c r="A99" s="58">
        <f>IF(B99="","","T-"&amp;TEXT(ROW()-5,"000"))</f>
        <v/>
      </c>
      <c r="B99" s="65" t="n"/>
      <c r="C99" s="51" t="n"/>
      <c r="D99" s="51" t="n"/>
      <c r="E99" s="51" t="n"/>
      <c r="F99" s="51" t="n"/>
      <c r="G99" s="60" t="n"/>
      <c r="H99" s="61" t="n"/>
      <c r="I99" s="60" t="n"/>
      <c r="J99" s="62" t="n"/>
      <c r="K99" s="52" t="n"/>
      <c r="L99" s="63">
        <f>IF(OR(B99="",H99="",E99="Done"),"",ROUNDDOWN(H99-NOW(),0))</f>
        <v/>
      </c>
      <c r="M99" s="58">
        <f>IF(B99="","",IF(E99="Done","Complete",IF(E99="Blocked","Blocked",IF(H99="","No due date",IF(H99&lt;NOW(),"Overdue",IF(H99-NOW()&lt;=3,"Due soon","On track"))))))</f>
        <v/>
      </c>
      <c r="N99" s="51" t="n"/>
      <c r="O99" s="65" t="n"/>
      <c r="P99" s="64">
        <f>IF(OR(B99="",E99="Done",H99=""),"",H99+ROW()/10000000)</f>
        <v/>
      </c>
    </row>
    <row r="100">
      <c r="A100" s="58">
        <f>IF(B100="","","T-"&amp;TEXT(ROW()-5,"000"))</f>
        <v/>
      </c>
      <c r="B100" s="65" t="n"/>
      <c r="C100" s="51" t="n"/>
      <c r="D100" s="51" t="n"/>
      <c r="E100" s="51" t="n"/>
      <c r="F100" s="51" t="n"/>
      <c r="G100" s="60" t="n"/>
      <c r="H100" s="61" t="n"/>
      <c r="I100" s="60" t="n"/>
      <c r="J100" s="62" t="n"/>
      <c r="K100" s="52" t="n"/>
      <c r="L100" s="63">
        <f>IF(OR(B100="",H100="",E100="Done"),"",ROUNDDOWN(H100-NOW(),0))</f>
        <v/>
      </c>
      <c r="M100" s="58">
        <f>IF(B100="","",IF(E100="Done","Complete",IF(E100="Blocked","Blocked",IF(H100="","No due date",IF(H100&lt;NOW(),"Overdue",IF(H100-NOW()&lt;=3,"Due soon","On track"))))))</f>
        <v/>
      </c>
      <c r="N100" s="51" t="n"/>
      <c r="O100" s="65" t="n"/>
      <c r="P100" s="64">
        <f>IF(OR(B100="",E100="Done",H100=""),"",H100+ROW()/10000000)</f>
        <v/>
      </c>
    </row>
    <row r="101">
      <c r="A101" s="58">
        <f>IF(B101="","","T-"&amp;TEXT(ROW()-5,"000"))</f>
        <v/>
      </c>
      <c r="B101" s="65" t="n"/>
      <c r="C101" s="51" t="n"/>
      <c r="D101" s="51" t="n"/>
      <c r="E101" s="51" t="n"/>
      <c r="F101" s="51" t="n"/>
      <c r="G101" s="60" t="n"/>
      <c r="H101" s="61" t="n"/>
      <c r="I101" s="60" t="n"/>
      <c r="J101" s="62" t="n"/>
      <c r="K101" s="52" t="n"/>
      <c r="L101" s="63">
        <f>IF(OR(B101="",H101="",E101="Done"),"",ROUNDDOWN(H101-NOW(),0))</f>
        <v/>
      </c>
      <c r="M101" s="58">
        <f>IF(B101="","",IF(E101="Done","Complete",IF(E101="Blocked","Blocked",IF(H101="","No due date",IF(H101&lt;NOW(),"Overdue",IF(H101-NOW()&lt;=3,"Due soon","On track"))))))</f>
        <v/>
      </c>
      <c r="N101" s="51" t="n"/>
      <c r="O101" s="65" t="n"/>
      <c r="P101" s="64">
        <f>IF(OR(B101="",E101="Done",H101=""),"",H101+ROW()/10000000)</f>
        <v/>
      </c>
    </row>
    <row r="102">
      <c r="A102" s="58">
        <f>IF(B102="","","T-"&amp;TEXT(ROW()-5,"000"))</f>
        <v/>
      </c>
      <c r="B102" s="65" t="n"/>
      <c r="C102" s="51" t="n"/>
      <c r="D102" s="51" t="n"/>
      <c r="E102" s="51" t="n"/>
      <c r="F102" s="51" t="n"/>
      <c r="G102" s="60" t="n"/>
      <c r="H102" s="61" t="n"/>
      <c r="I102" s="60" t="n"/>
      <c r="J102" s="62" t="n"/>
      <c r="K102" s="52" t="n"/>
      <c r="L102" s="63">
        <f>IF(OR(B102="",H102="",E102="Done"),"",ROUNDDOWN(H102-NOW(),0))</f>
        <v/>
      </c>
      <c r="M102" s="58">
        <f>IF(B102="","",IF(E102="Done","Complete",IF(E102="Blocked","Blocked",IF(H102="","No due date",IF(H102&lt;NOW(),"Overdue",IF(H102-NOW()&lt;=3,"Due soon","On track"))))))</f>
        <v/>
      </c>
      <c r="N102" s="51" t="n"/>
      <c r="O102" s="65" t="n"/>
      <c r="P102" s="64">
        <f>IF(OR(B102="",E102="Done",H102=""),"",H102+ROW()/10000000)</f>
        <v/>
      </c>
    </row>
    <row r="103">
      <c r="A103" s="58">
        <f>IF(B103="","","T-"&amp;TEXT(ROW()-5,"000"))</f>
        <v/>
      </c>
      <c r="B103" s="65" t="n"/>
      <c r="C103" s="51" t="n"/>
      <c r="D103" s="51" t="n"/>
      <c r="E103" s="51" t="n"/>
      <c r="F103" s="51" t="n"/>
      <c r="G103" s="60" t="n"/>
      <c r="H103" s="61" t="n"/>
      <c r="I103" s="60" t="n"/>
      <c r="J103" s="62" t="n"/>
      <c r="K103" s="52" t="n"/>
      <c r="L103" s="63">
        <f>IF(OR(B103="",H103="",E103="Done"),"",ROUNDDOWN(H103-NOW(),0))</f>
        <v/>
      </c>
      <c r="M103" s="58">
        <f>IF(B103="","",IF(E103="Done","Complete",IF(E103="Blocked","Blocked",IF(H103="","No due date",IF(H103&lt;NOW(),"Overdue",IF(H103-NOW()&lt;=3,"Due soon","On track"))))))</f>
        <v/>
      </c>
      <c r="N103" s="51" t="n"/>
      <c r="O103" s="65" t="n"/>
      <c r="P103" s="64">
        <f>IF(OR(B103="",E103="Done",H103=""),"",H103+ROW()/10000000)</f>
        <v/>
      </c>
    </row>
    <row r="104">
      <c r="A104" s="58">
        <f>IF(B104="","","T-"&amp;TEXT(ROW()-5,"000"))</f>
        <v/>
      </c>
      <c r="B104" s="65" t="n"/>
      <c r="C104" s="51" t="n"/>
      <c r="D104" s="51" t="n"/>
      <c r="E104" s="51" t="n"/>
      <c r="F104" s="51" t="n"/>
      <c r="G104" s="60" t="n"/>
      <c r="H104" s="61" t="n"/>
      <c r="I104" s="60" t="n"/>
      <c r="J104" s="62" t="n"/>
      <c r="K104" s="52" t="n"/>
      <c r="L104" s="63">
        <f>IF(OR(B104="",H104="",E104="Done"),"",ROUNDDOWN(H104-NOW(),0))</f>
        <v/>
      </c>
      <c r="M104" s="58">
        <f>IF(B104="","",IF(E104="Done","Complete",IF(E104="Blocked","Blocked",IF(H104="","No due date",IF(H104&lt;NOW(),"Overdue",IF(H104-NOW()&lt;=3,"Due soon","On track"))))))</f>
        <v/>
      </c>
      <c r="N104" s="51" t="n"/>
      <c r="O104" s="65" t="n"/>
      <c r="P104" s="64">
        <f>IF(OR(B104="",E104="Done",H104=""),"",H104+ROW()/10000000)</f>
        <v/>
      </c>
    </row>
    <row r="105">
      <c r="A105" s="58">
        <f>IF(B105="","","T-"&amp;TEXT(ROW()-5,"000"))</f>
        <v/>
      </c>
      <c r="B105" s="65" t="n"/>
      <c r="C105" s="51" t="n"/>
      <c r="D105" s="51" t="n"/>
      <c r="E105" s="51" t="n"/>
      <c r="F105" s="51" t="n"/>
      <c r="G105" s="60" t="n"/>
      <c r="H105" s="61" t="n"/>
      <c r="I105" s="60" t="n"/>
      <c r="J105" s="62" t="n"/>
      <c r="K105" s="52" t="n"/>
      <c r="L105" s="63">
        <f>IF(OR(B105="",H105="",E105="Done"),"",ROUNDDOWN(H105-NOW(),0))</f>
        <v/>
      </c>
      <c r="M105" s="58">
        <f>IF(B105="","",IF(E105="Done","Complete",IF(E105="Blocked","Blocked",IF(H105="","No due date",IF(H105&lt;NOW(),"Overdue",IF(H105-NOW()&lt;=3,"Due soon","On track"))))))</f>
        <v/>
      </c>
      <c r="N105" s="51" t="n"/>
      <c r="O105" s="65" t="n"/>
      <c r="P105" s="64">
        <f>IF(OR(B105="",E105="Done",H105=""),"",H105+ROW()/10000000)</f>
        <v/>
      </c>
    </row>
    <row r="106">
      <c r="A106" s="58">
        <f>IF(B106="","","T-"&amp;TEXT(ROW()-5,"000"))</f>
        <v/>
      </c>
      <c r="B106" s="65" t="n"/>
      <c r="C106" s="51" t="n"/>
      <c r="D106" s="51" t="n"/>
      <c r="E106" s="51" t="n"/>
      <c r="F106" s="51" t="n"/>
      <c r="G106" s="60" t="n"/>
      <c r="H106" s="61" t="n"/>
      <c r="I106" s="60" t="n"/>
      <c r="J106" s="62" t="n"/>
      <c r="K106" s="52" t="n"/>
      <c r="L106" s="63">
        <f>IF(OR(B106="",H106="",E106="Done"),"",ROUNDDOWN(H106-NOW(),0))</f>
        <v/>
      </c>
      <c r="M106" s="58">
        <f>IF(B106="","",IF(E106="Done","Complete",IF(E106="Blocked","Blocked",IF(H106="","No due date",IF(H106&lt;NOW(),"Overdue",IF(H106-NOW()&lt;=3,"Due soon","On track"))))))</f>
        <v/>
      </c>
      <c r="N106" s="51" t="n"/>
      <c r="O106" s="65" t="n"/>
      <c r="P106" s="64">
        <f>IF(OR(B106="",E106="Done",H106=""),"",H106+ROW()/10000000)</f>
        <v/>
      </c>
    </row>
    <row r="107">
      <c r="A107" s="58">
        <f>IF(B107="","","T-"&amp;TEXT(ROW()-5,"000"))</f>
        <v/>
      </c>
      <c r="B107" s="65" t="n"/>
      <c r="C107" s="51" t="n"/>
      <c r="D107" s="51" t="n"/>
      <c r="E107" s="51" t="n"/>
      <c r="F107" s="51" t="n"/>
      <c r="G107" s="60" t="n"/>
      <c r="H107" s="61" t="n"/>
      <c r="I107" s="60" t="n"/>
      <c r="J107" s="62" t="n"/>
      <c r="K107" s="52" t="n"/>
      <c r="L107" s="63">
        <f>IF(OR(B107="",H107="",E107="Done"),"",ROUNDDOWN(H107-NOW(),0))</f>
        <v/>
      </c>
      <c r="M107" s="58">
        <f>IF(B107="","",IF(E107="Done","Complete",IF(E107="Blocked","Blocked",IF(H107="","No due date",IF(H107&lt;NOW(),"Overdue",IF(H107-NOW()&lt;=3,"Due soon","On track"))))))</f>
        <v/>
      </c>
      <c r="N107" s="51" t="n"/>
      <c r="O107" s="65" t="n"/>
      <c r="P107" s="64">
        <f>IF(OR(B107="",E107="Done",H107=""),"",H107+ROW()/10000000)</f>
        <v/>
      </c>
    </row>
    <row r="108">
      <c r="A108" s="58">
        <f>IF(B108="","","T-"&amp;TEXT(ROW()-5,"000"))</f>
        <v/>
      </c>
      <c r="B108" s="65" t="n"/>
      <c r="C108" s="51" t="n"/>
      <c r="D108" s="51" t="n"/>
      <c r="E108" s="51" t="n"/>
      <c r="F108" s="51" t="n"/>
      <c r="G108" s="60" t="n"/>
      <c r="H108" s="61" t="n"/>
      <c r="I108" s="60" t="n"/>
      <c r="J108" s="62" t="n"/>
      <c r="K108" s="52" t="n"/>
      <c r="L108" s="63">
        <f>IF(OR(B108="",H108="",E108="Done"),"",ROUNDDOWN(H108-NOW(),0))</f>
        <v/>
      </c>
      <c r="M108" s="58">
        <f>IF(B108="","",IF(E108="Done","Complete",IF(E108="Blocked","Blocked",IF(H108="","No due date",IF(H108&lt;NOW(),"Overdue",IF(H108-NOW()&lt;=3,"Due soon","On track"))))))</f>
        <v/>
      </c>
      <c r="N108" s="51" t="n"/>
      <c r="O108" s="65" t="n"/>
      <c r="P108" s="64">
        <f>IF(OR(B108="",E108="Done",H108=""),"",H108+ROW()/10000000)</f>
        <v/>
      </c>
    </row>
    <row r="109">
      <c r="A109" s="58">
        <f>IF(B109="","","T-"&amp;TEXT(ROW()-5,"000"))</f>
        <v/>
      </c>
      <c r="B109" s="65" t="n"/>
      <c r="C109" s="51" t="n"/>
      <c r="D109" s="51" t="n"/>
      <c r="E109" s="51" t="n"/>
      <c r="F109" s="51" t="n"/>
      <c r="G109" s="60" t="n"/>
      <c r="H109" s="61" t="n"/>
      <c r="I109" s="60" t="n"/>
      <c r="J109" s="62" t="n"/>
      <c r="K109" s="52" t="n"/>
      <c r="L109" s="63">
        <f>IF(OR(B109="",H109="",E109="Done"),"",ROUNDDOWN(H109-NOW(),0))</f>
        <v/>
      </c>
      <c r="M109" s="58">
        <f>IF(B109="","",IF(E109="Done","Complete",IF(E109="Blocked","Blocked",IF(H109="","No due date",IF(H109&lt;NOW(),"Overdue",IF(H109-NOW()&lt;=3,"Due soon","On track"))))))</f>
        <v/>
      </c>
      <c r="N109" s="51" t="n"/>
      <c r="O109" s="65" t="n"/>
      <c r="P109" s="64">
        <f>IF(OR(B109="",E109="Done",H109=""),"",H109+ROW()/10000000)</f>
        <v/>
      </c>
    </row>
    <row r="110">
      <c r="A110" s="58">
        <f>IF(B110="","","T-"&amp;TEXT(ROW()-5,"000"))</f>
        <v/>
      </c>
      <c r="B110" s="65" t="n"/>
      <c r="C110" s="51" t="n"/>
      <c r="D110" s="51" t="n"/>
      <c r="E110" s="51" t="n"/>
      <c r="F110" s="51" t="n"/>
      <c r="G110" s="60" t="n"/>
      <c r="H110" s="61" t="n"/>
      <c r="I110" s="60" t="n"/>
      <c r="J110" s="62" t="n"/>
      <c r="K110" s="52" t="n"/>
      <c r="L110" s="63">
        <f>IF(OR(B110="",H110="",E110="Done"),"",ROUNDDOWN(H110-NOW(),0))</f>
        <v/>
      </c>
      <c r="M110" s="58">
        <f>IF(B110="","",IF(E110="Done","Complete",IF(E110="Blocked","Blocked",IF(H110="","No due date",IF(H110&lt;NOW(),"Overdue",IF(H110-NOW()&lt;=3,"Due soon","On track"))))))</f>
        <v/>
      </c>
      <c r="N110" s="51" t="n"/>
      <c r="O110" s="65" t="n"/>
      <c r="P110" s="64">
        <f>IF(OR(B110="",E110="Done",H110=""),"",H110+ROW()/10000000)</f>
        <v/>
      </c>
    </row>
    <row r="111">
      <c r="A111" s="58">
        <f>IF(B111="","","T-"&amp;TEXT(ROW()-5,"000"))</f>
        <v/>
      </c>
      <c r="B111" s="65" t="n"/>
      <c r="C111" s="51" t="n"/>
      <c r="D111" s="51" t="n"/>
      <c r="E111" s="51" t="n"/>
      <c r="F111" s="51" t="n"/>
      <c r="G111" s="60" t="n"/>
      <c r="H111" s="61" t="n"/>
      <c r="I111" s="60" t="n"/>
      <c r="J111" s="62" t="n"/>
      <c r="K111" s="52" t="n"/>
      <c r="L111" s="63">
        <f>IF(OR(B111="",H111="",E111="Done"),"",ROUNDDOWN(H111-NOW(),0))</f>
        <v/>
      </c>
      <c r="M111" s="58">
        <f>IF(B111="","",IF(E111="Done","Complete",IF(E111="Blocked","Blocked",IF(H111="","No due date",IF(H111&lt;NOW(),"Overdue",IF(H111-NOW()&lt;=3,"Due soon","On track"))))))</f>
        <v/>
      </c>
      <c r="N111" s="51" t="n"/>
      <c r="O111" s="65" t="n"/>
      <c r="P111" s="64">
        <f>IF(OR(B111="",E111="Done",H111=""),"",H111+ROW()/10000000)</f>
        <v/>
      </c>
    </row>
    <row r="112">
      <c r="A112" s="58">
        <f>IF(B112="","","T-"&amp;TEXT(ROW()-5,"000"))</f>
        <v/>
      </c>
      <c r="B112" s="65" t="n"/>
      <c r="C112" s="51" t="n"/>
      <c r="D112" s="51" t="n"/>
      <c r="E112" s="51" t="n"/>
      <c r="F112" s="51" t="n"/>
      <c r="G112" s="60" t="n"/>
      <c r="H112" s="61" t="n"/>
      <c r="I112" s="60" t="n"/>
      <c r="J112" s="62" t="n"/>
      <c r="K112" s="52" t="n"/>
      <c r="L112" s="63">
        <f>IF(OR(B112="",H112="",E112="Done"),"",ROUNDDOWN(H112-NOW(),0))</f>
        <v/>
      </c>
      <c r="M112" s="58">
        <f>IF(B112="","",IF(E112="Done","Complete",IF(E112="Blocked","Blocked",IF(H112="","No due date",IF(H112&lt;NOW(),"Overdue",IF(H112-NOW()&lt;=3,"Due soon","On track"))))))</f>
        <v/>
      </c>
      <c r="N112" s="51" t="n"/>
      <c r="O112" s="65" t="n"/>
      <c r="P112" s="64">
        <f>IF(OR(B112="",E112="Done",H112=""),"",H112+ROW()/10000000)</f>
        <v/>
      </c>
    </row>
    <row r="113">
      <c r="A113" s="58">
        <f>IF(B113="","","T-"&amp;TEXT(ROW()-5,"000"))</f>
        <v/>
      </c>
      <c r="B113" s="65" t="n"/>
      <c r="C113" s="51" t="n"/>
      <c r="D113" s="51" t="n"/>
      <c r="E113" s="51" t="n"/>
      <c r="F113" s="51" t="n"/>
      <c r="G113" s="60" t="n"/>
      <c r="H113" s="61" t="n"/>
      <c r="I113" s="60" t="n"/>
      <c r="J113" s="62" t="n"/>
      <c r="K113" s="52" t="n"/>
      <c r="L113" s="63">
        <f>IF(OR(B113="",H113="",E113="Done"),"",ROUNDDOWN(H113-NOW(),0))</f>
        <v/>
      </c>
      <c r="M113" s="58">
        <f>IF(B113="","",IF(E113="Done","Complete",IF(E113="Blocked","Blocked",IF(H113="","No due date",IF(H113&lt;NOW(),"Overdue",IF(H113-NOW()&lt;=3,"Due soon","On track"))))))</f>
        <v/>
      </c>
      <c r="N113" s="51" t="n"/>
      <c r="O113" s="65" t="n"/>
      <c r="P113" s="64">
        <f>IF(OR(B113="",E113="Done",H113=""),"",H113+ROW()/10000000)</f>
        <v/>
      </c>
    </row>
    <row r="114">
      <c r="A114" s="58">
        <f>IF(B114="","","T-"&amp;TEXT(ROW()-5,"000"))</f>
        <v/>
      </c>
      <c r="B114" s="65" t="n"/>
      <c r="C114" s="51" t="n"/>
      <c r="D114" s="51" t="n"/>
      <c r="E114" s="51" t="n"/>
      <c r="F114" s="51" t="n"/>
      <c r="G114" s="60" t="n"/>
      <c r="H114" s="61" t="n"/>
      <c r="I114" s="60" t="n"/>
      <c r="J114" s="62" t="n"/>
      <c r="K114" s="52" t="n"/>
      <c r="L114" s="63">
        <f>IF(OR(B114="",H114="",E114="Done"),"",ROUNDDOWN(H114-NOW(),0))</f>
        <v/>
      </c>
      <c r="M114" s="58">
        <f>IF(B114="","",IF(E114="Done","Complete",IF(E114="Blocked","Blocked",IF(H114="","No due date",IF(H114&lt;NOW(),"Overdue",IF(H114-NOW()&lt;=3,"Due soon","On track"))))))</f>
        <v/>
      </c>
      <c r="N114" s="51" t="n"/>
      <c r="O114" s="65" t="n"/>
      <c r="P114" s="64">
        <f>IF(OR(B114="",E114="Done",H114=""),"",H114+ROW()/10000000)</f>
        <v/>
      </c>
    </row>
    <row r="115">
      <c r="A115" s="58">
        <f>IF(B115="","","T-"&amp;TEXT(ROW()-5,"000"))</f>
        <v/>
      </c>
      <c r="B115" s="65" t="n"/>
      <c r="C115" s="51" t="n"/>
      <c r="D115" s="51" t="n"/>
      <c r="E115" s="51" t="n"/>
      <c r="F115" s="51" t="n"/>
      <c r="G115" s="60" t="n"/>
      <c r="H115" s="61" t="n"/>
      <c r="I115" s="60" t="n"/>
      <c r="J115" s="62" t="n"/>
      <c r="K115" s="52" t="n"/>
      <c r="L115" s="63">
        <f>IF(OR(B115="",H115="",E115="Done"),"",ROUNDDOWN(H115-NOW(),0))</f>
        <v/>
      </c>
      <c r="M115" s="58">
        <f>IF(B115="","",IF(E115="Done","Complete",IF(E115="Blocked","Blocked",IF(H115="","No due date",IF(H115&lt;NOW(),"Overdue",IF(H115-NOW()&lt;=3,"Due soon","On track"))))))</f>
        <v/>
      </c>
      <c r="N115" s="51" t="n"/>
      <c r="O115" s="65" t="n"/>
      <c r="P115" s="64">
        <f>IF(OR(B115="",E115="Done",H115=""),"",H115+ROW()/10000000)</f>
        <v/>
      </c>
    </row>
    <row r="116">
      <c r="A116" s="58">
        <f>IF(B116="","","T-"&amp;TEXT(ROW()-5,"000"))</f>
        <v/>
      </c>
      <c r="B116" s="65" t="n"/>
      <c r="C116" s="51" t="n"/>
      <c r="D116" s="51" t="n"/>
      <c r="E116" s="51" t="n"/>
      <c r="F116" s="51" t="n"/>
      <c r="G116" s="60" t="n"/>
      <c r="H116" s="61" t="n"/>
      <c r="I116" s="60" t="n"/>
      <c r="J116" s="62" t="n"/>
      <c r="K116" s="52" t="n"/>
      <c r="L116" s="63">
        <f>IF(OR(B116="",H116="",E116="Done"),"",ROUNDDOWN(H116-NOW(),0))</f>
        <v/>
      </c>
      <c r="M116" s="58">
        <f>IF(B116="","",IF(E116="Done","Complete",IF(E116="Blocked","Blocked",IF(H116="","No due date",IF(H116&lt;NOW(),"Overdue",IF(H116-NOW()&lt;=3,"Due soon","On track"))))))</f>
        <v/>
      </c>
      <c r="N116" s="51" t="n"/>
      <c r="O116" s="65" t="n"/>
      <c r="P116" s="64">
        <f>IF(OR(B116="",E116="Done",H116=""),"",H116+ROW()/10000000)</f>
        <v/>
      </c>
    </row>
    <row r="117">
      <c r="A117" s="58">
        <f>IF(B117="","","T-"&amp;TEXT(ROW()-5,"000"))</f>
        <v/>
      </c>
      <c r="B117" s="65" t="n"/>
      <c r="C117" s="51" t="n"/>
      <c r="D117" s="51" t="n"/>
      <c r="E117" s="51" t="n"/>
      <c r="F117" s="51" t="n"/>
      <c r="G117" s="60" t="n"/>
      <c r="H117" s="61" t="n"/>
      <c r="I117" s="60" t="n"/>
      <c r="J117" s="62" t="n"/>
      <c r="K117" s="52" t="n"/>
      <c r="L117" s="63">
        <f>IF(OR(B117="",H117="",E117="Done"),"",ROUNDDOWN(H117-NOW(),0))</f>
        <v/>
      </c>
      <c r="M117" s="58">
        <f>IF(B117="","",IF(E117="Done","Complete",IF(E117="Blocked","Blocked",IF(H117="","No due date",IF(H117&lt;NOW(),"Overdue",IF(H117-NOW()&lt;=3,"Due soon","On track"))))))</f>
        <v/>
      </c>
      <c r="N117" s="51" t="n"/>
      <c r="O117" s="65" t="n"/>
      <c r="P117" s="64">
        <f>IF(OR(B117="",E117="Done",H117=""),"",H117+ROW()/10000000)</f>
        <v/>
      </c>
    </row>
    <row r="118">
      <c r="A118" s="58">
        <f>IF(B118="","","T-"&amp;TEXT(ROW()-5,"000"))</f>
        <v/>
      </c>
      <c r="B118" s="65" t="n"/>
      <c r="C118" s="51" t="n"/>
      <c r="D118" s="51" t="n"/>
      <c r="E118" s="51" t="n"/>
      <c r="F118" s="51" t="n"/>
      <c r="G118" s="60" t="n"/>
      <c r="H118" s="61" t="n"/>
      <c r="I118" s="60" t="n"/>
      <c r="J118" s="62" t="n"/>
      <c r="K118" s="52" t="n"/>
      <c r="L118" s="63">
        <f>IF(OR(B118="",H118="",E118="Done"),"",ROUNDDOWN(H118-NOW(),0))</f>
        <v/>
      </c>
      <c r="M118" s="58">
        <f>IF(B118="","",IF(E118="Done","Complete",IF(E118="Blocked","Blocked",IF(H118="","No due date",IF(H118&lt;NOW(),"Overdue",IF(H118-NOW()&lt;=3,"Due soon","On track"))))))</f>
        <v/>
      </c>
      <c r="N118" s="51" t="n"/>
      <c r="O118" s="65" t="n"/>
      <c r="P118" s="64">
        <f>IF(OR(B118="",E118="Done",H118=""),"",H118+ROW()/10000000)</f>
        <v/>
      </c>
    </row>
    <row r="119">
      <c r="A119" s="58">
        <f>IF(B119="","","T-"&amp;TEXT(ROW()-5,"000"))</f>
        <v/>
      </c>
      <c r="B119" s="65" t="n"/>
      <c r="C119" s="51" t="n"/>
      <c r="D119" s="51" t="n"/>
      <c r="E119" s="51" t="n"/>
      <c r="F119" s="51" t="n"/>
      <c r="G119" s="60" t="n"/>
      <c r="H119" s="61" t="n"/>
      <c r="I119" s="60" t="n"/>
      <c r="J119" s="62" t="n"/>
      <c r="K119" s="52" t="n"/>
      <c r="L119" s="63">
        <f>IF(OR(B119="",H119="",E119="Done"),"",ROUNDDOWN(H119-NOW(),0))</f>
        <v/>
      </c>
      <c r="M119" s="58">
        <f>IF(B119="","",IF(E119="Done","Complete",IF(E119="Blocked","Blocked",IF(H119="","No due date",IF(H119&lt;NOW(),"Overdue",IF(H119-NOW()&lt;=3,"Due soon","On track"))))))</f>
        <v/>
      </c>
      <c r="N119" s="51" t="n"/>
      <c r="O119" s="65" t="n"/>
      <c r="P119" s="64">
        <f>IF(OR(B119="",E119="Done",H119=""),"",H119+ROW()/10000000)</f>
        <v/>
      </c>
    </row>
    <row r="120">
      <c r="A120" s="58">
        <f>IF(B120="","","T-"&amp;TEXT(ROW()-5,"000"))</f>
        <v/>
      </c>
      <c r="B120" s="65" t="n"/>
      <c r="C120" s="51" t="n"/>
      <c r="D120" s="51" t="n"/>
      <c r="E120" s="51" t="n"/>
      <c r="F120" s="51" t="n"/>
      <c r="G120" s="60" t="n"/>
      <c r="H120" s="61" t="n"/>
      <c r="I120" s="60" t="n"/>
      <c r="J120" s="62" t="n"/>
      <c r="K120" s="52" t="n"/>
      <c r="L120" s="63">
        <f>IF(OR(B120="",H120="",E120="Done"),"",ROUNDDOWN(H120-NOW(),0))</f>
        <v/>
      </c>
      <c r="M120" s="58">
        <f>IF(B120="","",IF(E120="Done","Complete",IF(E120="Blocked","Blocked",IF(H120="","No due date",IF(H120&lt;NOW(),"Overdue",IF(H120-NOW()&lt;=3,"Due soon","On track"))))))</f>
        <v/>
      </c>
      <c r="N120" s="51" t="n"/>
      <c r="O120" s="65" t="n"/>
      <c r="P120" s="64">
        <f>IF(OR(B120="",E120="Done",H120=""),"",H120+ROW()/10000000)</f>
        <v/>
      </c>
    </row>
    <row r="121">
      <c r="A121" s="58">
        <f>IF(B121="","","T-"&amp;TEXT(ROW()-5,"000"))</f>
        <v/>
      </c>
      <c r="B121" s="65" t="n"/>
      <c r="C121" s="51" t="n"/>
      <c r="D121" s="51" t="n"/>
      <c r="E121" s="51" t="n"/>
      <c r="F121" s="51" t="n"/>
      <c r="G121" s="60" t="n"/>
      <c r="H121" s="61" t="n"/>
      <c r="I121" s="60" t="n"/>
      <c r="J121" s="62" t="n"/>
      <c r="K121" s="52" t="n"/>
      <c r="L121" s="63">
        <f>IF(OR(B121="",H121="",E121="Done"),"",ROUNDDOWN(H121-NOW(),0))</f>
        <v/>
      </c>
      <c r="M121" s="58">
        <f>IF(B121="","",IF(E121="Done","Complete",IF(E121="Blocked","Blocked",IF(H121="","No due date",IF(H121&lt;NOW(),"Overdue",IF(H121-NOW()&lt;=3,"Due soon","On track"))))))</f>
        <v/>
      </c>
      <c r="N121" s="51" t="n"/>
      <c r="O121" s="65" t="n"/>
      <c r="P121" s="64">
        <f>IF(OR(B121="",E121="Done",H121=""),"",H121+ROW()/10000000)</f>
        <v/>
      </c>
    </row>
    <row r="122">
      <c r="A122" s="58">
        <f>IF(B122="","","T-"&amp;TEXT(ROW()-5,"000"))</f>
        <v/>
      </c>
      <c r="B122" s="65" t="n"/>
      <c r="C122" s="51" t="n"/>
      <c r="D122" s="51" t="n"/>
      <c r="E122" s="51" t="n"/>
      <c r="F122" s="51" t="n"/>
      <c r="G122" s="60" t="n"/>
      <c r="H122" s="61" t="n"/>
      <c r="I122" s="60" t="n"/>
      <c r="J122" s="62" t="n"/>
      <c r="K122" s="52" t="n"/>
      <c r="L122" s="63">
        <f>IF(OR(B122="",H122="",E122="Done"),"",ROUNDDOWN(H122-NOW(),0))</f>
        <v/>
      </c>
      <c r="M122" s="58">
        <f>IF(B122="","",IF(E122="Done","Complete",IF(E122="Blocked","Blocked",IF(H122="","No due date",IF(H122&lt;NOW(),"Overdue",IF(H122-NOW()&lt;=3,"Due soon","On track"))))))</f>
        <v/>
      </c>
      <c r="N122" s="51" t="n"/>
      <c r="O122" s="65" t="n"/>
      <c r="P122" s="64">
        <f>IF(OR(B122="",E122="Done",H122=""),"",H122+ROW()/10000000)</f>
        <v/>
      </c>
    </row>
    <row r="123">
      <c r="A123" s="58">
        <f>IF(B123="","","T-"&amp;TEXT(ROW()-5,"000"))</f>
        <v/>
      </c>
      <c r="B123" s="65" t="n"/>
      <c r="C123" s="51" t="n"/>
      <c r="D123" s="51" t="n"/>
      <c r="E123" s="51" t="n"/>
      <c r="F123" s="51" t="n"/>
      <c r="G123" s="60" t="n"/>
      <c r="H123" s="61" t="n"/>
      <c r="I123" s="60" t="n"/>
      <c r="J123" s="62" t="n"/>
      <c r="K123" s="52" t="n"/>
      <c r="L123" s="63">
        <f>IF(OR(B123="",H123="",E123="Done"),"",ROUNDDOWN(H123-NOW(),0))</f>
        <v/>
      </c>
      <c r="M123" s="58">
        <f>IF(B123="","",IF(E123="Done","Complete",IF(E123="Blocked","Blocked",IF(H123="","No due date",IF(H123&lt;NOW(),"Overdue",IF(H123-NOW()&lt;=3,"Due soon","On track"))))))</f>
        <v/>
      </c>
      <c r="N123" s="51" t="n"/>
      <c r="O123" s="65" t="n"/>
      <c r="P123" s="64">
        <f>IF(OR(B123="",E123="Done",H123=""),"",H123+ROW()/10000000)</f>
        <v/>
      </c>
    </row>
    <row r="124">
      <c r="A124" s="58">
        <f>IF(B124="","","T-"&amp;TEXT(ROW()-5,"000"))</f>
        <v/>
      </c>
      <c r="B124" s="65" t="n"/>
      <c r="C124" s="51" t="n"/>
      <c r="D124" s="51" t="n"/>
      <c r="E124" s="51" t="n"/>
      <c r="F124" s="51" t="n"/>
      <c r="G124" s="60" t="n"/>
      <c r="H124" s="61" t="n"/>
      <c r="I124" s="60" t="n"/>
      <c r="J124" s="62" t="n"/>
      <c r="K124" s="52" t="n"/>
      <c r="L124" s="63">
        <f>IF(OR(B124="",H124="",E124="Done"),"",ROUNDDOWN(H124-NOW(),0))</f>
        <v/>
      </c>
      <c r="M124" s="58">
        <f>IF(B124="","",IF(E124="Done","Complete",IF(E124="Blocked","Blocked",IF(H124="","No due date",IF(H124&lt;NOW(),"Overdue",IF(H124-NOW()&lt;=3,"Due soon","On track"))))))</f>
        <v/>
      </c>
      <c r="N124" s="51" t="n"/>
      <c r="O124" s="65" t="n"/>
      <c r="P124" s="64">
        <f>IF(OR(B124="",E124="Done",H124=""),"",H124+ROW()/10000000)</f>
        <v/>
      </c>
    </row>
    <row r="125">
      <c r="A125" s="58">
        <f>IF(B125="","","T-"&amp;TEXT(ROW()-5,"000"))</f>
        <v/>
      </c>
      <c r="B125" s="65" t="n"/>
      <c r="C125" s="51" t="n"/>
      <c r="D125" s="51" t="n"/>
      <c r="E125" s="51" t="n"/>
      <c r="F125" s="51" t="n"/>
      <c r="G125" s="60" t="n"/>
      <c r="H125" s="61" t="n"/>
      <c r="I125" s="60" t="n"/>
      <c r="J125" s="62" t="n"/>
      <c r="K125" s="52" t="n"/>
      <c r="L125" s="63">
        <f>IF(OR(B125="",H125="",E125="Done"),"",ROUNDDOWN(H125-NOW(),0))</f>
        <v/>
      </c>
      <c r="M125" s="58">
        <f>IF(B125="","",IF(E125="Done","Complete",IF(E125="Blocked","Blocked",IF(H125="","No due date",IF(H125&lt;NOW(),"Overdue",IF(H125-NOW()&lt;=3,"Due soon","On track"))))))</f>
        <v/>
      </c>
      <c r="N125" s="51" t="n"/>
      <c r="O125" s="65" t="n"/>
      <c r="P125" s="64">
        <f>IF(OR(B125="",E125="Done",H125=""),"",H125+ROW()/10000000)</f>
        <v/>
      </c>
    </row>
    <row r="126">
      <c r="A126" s="58">
        <f>IF(B126="","","T-"&amp;TEXT(ROW()-5,"000"))</f>
        <v/>
      </c>
      <c r="B126" s="65" t="n"/>
      <c r="C126" s="51" t="n"/>
      <c r="D126" s="51" t="n"/>
      <c r="E126" s="51" t="n"/>
      <c r="F126" s="51" t="n"/>
      <c r="G126" s="60" t="n"/>
      <c r="H126" s="61" t="n"/>
      <c r="I126" s="60" t="n"/>
      <c r="J126" s="62" t="n"/>
      <c r="K126" s="52" t="n"/>
      <c r="L126" s="63">
        <f>IF(OR(B126="",H126="",E126="Done"),"",ROUNDDOWN(H126-NOW(),0))</f>
        <v/>
      </c>
      <c r="M126" s="58">
        <f>IF(B126="","",IF(E126="Done","Complete",IF(E126="Blocked","Blocked",IF(H126="","No due date",IF(H126&lt;NOW(),"Overdue",IF(H126-NOW()&lt;=3,"Due soon","On track"))))))</f>
        <v/>
      </c>
      <c r="N126" s="51" t="n"/>
      <c r="O126" s="65" t="n"/>
      <c r="P126" s="64">
        <f>IF(OR(B126="",E126="Done",H126=""),"",H126+ROW()/10000000)</f>
        <v/>
      </c>
    </row>
    <row r="127">
      <c r="A127" s="58">
        <f>IF(B127="","","T-"&amp;TEXT(ROW()-5,"000"))</f>
        <v/>
      </c>
      <c r="B127" s="65" t="n"/>
      <c r="C127" s="51" t="n"/>
      <c r="D127" s="51" t="n"/>
      <c r="E127" s="51" t="n"/>
      <c r="F127" s="51" t="n"/>
      <c r="G127" s="60" t="n"/>
      <c r="H127" s="61" t="n"/>
      <c r="I127" s="60" t="n"/>
      <c r="J127" s="62" t="n"/>
      <c r="K127" s="52" t="n"/>
      <c r="L127" s="63">
        <f>IF(OR(B127="",H127="",E127="Done"),"",ROUNDDOWN(H127-NOW(),0))</f>
        <v/>
      </c>
      <c r="M127" s="58">
        <f>IF(B127="","",IF(E127="Done","Complete",IF(E127="Blocked","Blocked",IF(H127="","No due date",IF(H127&lt;NOW(),"Overdue",IF(H127-NOW()&lt;=3,"Due soon","On track"))))))</f>
        <v/>
      </c>
      <c r="N127" s="51" t="n"/>
      <c r="O127" s="65" t="n"/>
      <c r="P127" s="64">
        <f>IF(OR(B127="",E127="Done",H127=""),"",H127+ROW()/10000000)</f>
        <v/>
      </c>
    </row>
    <row r="128">
      <c r="A128" s="58">
        <f>IF(B128="","","T-"&amp;TEXT(ROW()-5,"000"))</f>
        <v/>
      </c>
      <c r="B128" s="65" t="n"/>
      <c r="C128" s="51" t="n"/>
      <c r="D128" s="51" t="n"/>
      <c r="E128" s="51" t="n"/>
      <c r="F128" s="51" t="n"/>
      <c r="G128" s="60" t="n"/>
      <c r="H128" s="61" t="n"/>
      <c r="I128" s="60" t="n"/>
      <c r="J128" s="62" t="n"/>
      <c r="K128" s="52" t="n"/>
      <c r="L128" s="63">
        <f>IF(OR(B128="",H128="",E128="Done"),"",ROUNDDOWN(H128-NOW(),0))</f>
        <v/>
      </c>
      <c r="M128" s="58">
        <f>IF(B128="","",IF(E128="Done","Complete",IF(E128="Blocked","Blocked",IF(H128="","No due date",IF(H128&lt;NOW(),"Overdue",IF(H128-NOW()&lt;=3,"Due soon","On track"))))))</f>
        <v/>
      </c>
      <c r="N128" s="51" t="n"/>
      <c r="O128" s="65" t="n"/>
      <c r="P128" s="64">
        <f>IF(OR(B128="",E128="Done",H128=""),"",H128+ROW()/10000000)</f>
        <v/>
      </c>
    </row>
    <row r="129">
      <c r="A129" s="58">
        <f>IF(B129="","","T-"&amp;TEXT(ROW()-5,"000"))</f>
        <v/>
      </c>
      <c r="B129" s="65" t="n"/>
      <c r="C129" s="51" t="n"/>
      <c r="D129" s="51" t="n"/>
      <c r="E129" s="51" t="n"/>
      <c r="F129" s="51" t="n"/>
      <c r="G129" s="60" t="n"/>
      <c r="H129" s="61" t="n"/>
      <c r="I129" s="60" t="n"/>
      <c r="J129" s="62" t="n"/>
      <c r="K129" s="52" t="n"/>
      <c r="L129" s="63">
        <f>IF(OR(B129="",H129="",E129="Done"),"",ROUNDDOWN(H129-NOW(),0))</f>
        <v/>
      </c>
      <c r="M129" s="58">
        <f>IF(B129="","",IF(E129="Done","Complete",IF(E129="Blocked","Blocked",IF(H129="","No due date",IF(H129&lt;NOW(),"Overdue",IF(H129-NOW()&lt;=3,"Due soon","On track"))))))</f>
        <v/>
      </c>
      <c r="N129" s="51" t="n"/>
      <c r="O129" s="65" t="n"/>
      <c r="P129" s="64">
        <f>IF(OR(B129="",E129="Done",H129=""),"",H129+ROW()/10000000)</f>
        <v/>
      </c>
    </row>
    <row r="130">
      <c r="A130" s="58">
        <f>IF(B130="","","T-"&amp;TEXT(ROW()-5,"000"))</f>
        <v/>
      </c>
      <c r="B130" s="65" t="n"/>
      <c r="C130" s="51" t="n"/>
      <c r="D130" s="51" t="n"/>
      <c r="E130" s="51" t="n"/>
      <c r="F130" s="51" t="n"/>
      <c r="G130" s="60" t="n"/>
      <c r="H130" s="61" t="n"/>
      <c r="I130" s="60" t="n"/>
      <c r="J130" s="62" t="n"/>
      <c r="K130" s="52" t="n"/>
      <c r="L130" s="63">
        <f>IF(OR(B130="",H130="",E130="Done"),"",ROUNDDOWN(H130-NOW(),0))</f>
        <v/>
      </c>
      <c r="M130" s="58">
        <f>IF(B130="","",IF(E130="Done","Complete",IF(E130="Blocked","Blocked",IF(H130="","No due date",IF(H130&lt;NOW(),"Overdue",IF(H130-NOW()&lt;=3,"Due soon","On track"))))))</f>
        <v/>
      </c>
      <c r="N130" s="51" t="n"/>
      <c r="O130" s="65" t="n"/>
      <c r="P130" s="64">
        <f>IF(OR(B130="",E130="Done",H130=""),"",H130+ROW()/10000000)</f>
        <v/>
      </c>
    </row>
    <row r="131">
      <c r="A131" s="58">
        <f>IF(B131="","","T-"&amp;TEXT(ROW()-5,"000"))</f>
        <v/>
      </c>
      <c r="B131" s="65" t="n"/>
      <c r="C131" s="51" t="n"/>
      <c r="D131" s="51" t="n"/>
      <c r="E131" s="51" t="n"/>
      <c r="F131" s="51" t="n"/>
      <c r="G131" s="60" t="n"/>
      <c r="H131" s="61" t="n"/>
      <c r="I131" s="60" t="n"/>
      <c r="J131" s="62" t="n"/>
      <c r="K131" s="52" t="n"/>
      <c r="L131" s="63">
        <f>IF(OR(B131="",H131="",E131="Done"),"",ROUNDDOWN(H131-NOW(),0))</f>
        <v/>
      </c>
      <c r="M131" s="58">
        <f>IF(B131="","",IF(E131="Done","Complete",IF(E131="Blocked","Blocked",IF(H131="","No due date",IF(H131&lt;NOW(),"Overdue",IF(H131-NOW()&lt;=3,"Due soon","On track"))))))</f>
        <v/>
      </c>
      <c r="N131" s="51" t="n"/>
      <c r="O131" s="65" t="n"/>
      <c r="P131" s="64">
        <f>IF(OR(B131="",E131="Done",H131=""),"",H131+ROW()/10000000)</f>
        <v/>
      </c>
    </row>
    <row r="132">
      <c r="A132" s="58">
        <f>IF(B132="","","T-"&amp;TEXT(ROW()-5,"000"))</f>
        <v/>
      </c>
      <c r="B132" s="65" t="n"/>
      <c r="C132" s="51" t="n"/>
      <c r="D132" s="51" t="n"/>
      <c r="E132" s="51" t="n"/>
      <c r="F132" s="51" t="n"/>
      <c r="G132" s="60" t="n"/>
      <c r="H132" s="61" t="n"/>
      <c r="I132" s="60" t="n"/>
      <c r="J132" s="62" t="n"/>
      <c r="K132" s="52" t="n"/>
      <c r="L132" s="63">
        <f>IF(OR(B132="",H132="",E132="Done"),"",ROUNDDOWN(H132-NOW(),0))</f>
        <v/>
      </c>
      <c r="M132" s="58">
        <f>IF(B132="","",IF(E132="Done","Complete",IF(E132="Blocked","Blocked",IF(H132="","No due date",IF(H132&lt;NOW(),"Overdue",IF(H132-NOW()&lt;=3,"Due soon","On track"))))))</f>
        <v/>
      </c>
      <c r="N132" s="51" t="n"/>
      <c r="O132" s="65" t="n"/>
      <c r="P132" s="64">
        <f>IF(OR(B132="",E132="Done",H132=""),"",H132+ROW()/10000000)</f>
        <v/>
      </c>
    </row>
    <row r="133">
      <c r="A133" s="58">
        <f>IF(B133="","","T-"&amp;TEXT(ROW()-5,"000"))</f>
        <v/>
      </c>
      <c r="B133" s="65" t="n"/>
      <c r="C133" s="51" t="n"/>
      <c r="D133" s="51" t="n"/>
      <c r="E133" s="51" t="n"/>
      <c r="F133" s="51" t="n"/>
      <c r="G133" s="60" t="n"/>
      <c r="H133" s="61" t="n"/>
      <c r="I133" s="60" t="n"/>
      <c r="J133" s="62" t="n"/>
      <c r="K133" s="52" t="n"/>
      <c r="L133" s="63">
        <f>IF(OR(B133="",H133="",E133="Done"),"",ROUNDDOWN(H133-NOW(),0))</f>
        <v/>
      </c>
      <c r="M133" s="58">
        <f>IF(B133="","",IF(E133="Done","Complete",IF(E133="Blocked","Blocked",IF(H133="","No due date",IF(H133&lt;NOW(),"Overdue",IF(H133-NOW()&lt;=3,"Due soon","On track"))))))</f>
        <v/>
      </c>
      <c r="N133" s="51" t="n"/>
      <c r="O133" s="65" t="n"/>
      <c r="P133" s="64">
        <f>IF(OR(B133="",E133="Done",H133=""),"",H133+ROW()/10000000)</f>
        <v/>
      </c>
    </row>
    <row r="134">
      <c r="A134" s="58">
        <f>IF(B134="","","T-"&amp;TEXT(ROW()-5,"000"))</f>
        <v/>
      </c>
      <c r="B134" s="65" t="n"/>
      <c r="C134" s="51" t="n"/>
      <c r="D134" s="51" t="n"/>
      <c r="E134" s="51" t="n"/>
      <c r="F134" s="51" t="n"/>
      <c r="G134" s="60" t="n"/>
      <c r="H134" s="61" t="n"/>
      <c r="I134" s="60" t="n"/>
      <c r="J134" s="62" t="n"/>
      <c r="K134" s="52" t="n"/>
      <c r="L134" s="63">
        <f>IF(OR(B134="",H134="",E134="Done"),"",ROUNDDOWN(H134-NOW(),0))</f>
        <v/>
      </c>
      <c r="M134" s="58">
        <f>IF(B134="","",IF(E134="Done","Complete",IF(E134="Blocked","Blocked",IF(H134="","No due date",IF(H134&lt;NOW(),"Overdue",IF(H134-NOW()&lt;=3,"Due soon","On track"))))))</f>
        <v/>
      </c>
      <c r="N134" s="51" t="n"/>
      <c r="O134" s="65" t="n"/>
      <c r="P134" s="64">
        <f>IF(OR(B134="",E134="Done",H134=""),"",H134+ROW()/10000000)</f>
        <v/>
      </c>
    </row>
    <row r="135">
      <c r="A135" s="58">
        <f>IF(B135="","","T-"&amp;TEXT(ROW()-5,"000"))</f>
        <v/>
      </c>
      <c r="B135" s="65" t="n"/>
      <c r="C135" s="51" t="n"/>
      <c r="D135" s="51" t="n"/>
      <c r="E135" s="51" t="n"/>
      <c r="F135" s="51" t="n"/>
      <c r="G135" s="60" t="n"/>
      <c r="H135" s="61" t="n"/>
      <c r="I135" s="60" t="n"/>
      <c r="J135" s="62" t="n"/>
      <c r="K135" s="52" t="n"/>
      <c r="L135" s="63">
        <f>IF(OR(B135="",H135="",E135="Done"),"",ROUNDDOWN(H135-NOW(),0))</f>
        <v/>
      </c>
      <c r="M135" s="58">
        <f>IF(B135="","",IF(E135="Done","Complete",IF(E135="Blocked","Blocked",IF(H135="","No due date",IF(H135&lt;NOW(),"Overdue",IF(H135-NOW()&lt;=3,"Due soon","On track"))))))</f>
        <v/>
      </c>
      <c r="N135" s="51" t="n"/>
      <c r="O135" s="65" t="n"/>
      <c r="P135" s="64">
        <f>IF(OR(B135="",E135="Done",H135=""),"",H135+ROW()/10000000)</f>
        <v/>
      </c>
    </row>
    <row r="136">
      <c r="A136" s="58">
        <f>IF(B136="","","T-"&amp;TEXT(ROW()-5,"000"))</f>
        <v/>
      </c>
      <c r="B136" s="65" t="n"/>
      <c r="C136" s="51" t="n"/>
      <c r="D136" s="51" t="n"/>
      <c r="E136" s="51" t="n"/>
      <c r="F136" s="51" t="n"/>
      <c r="G136" s="60" t="n"/>
      <c r="H136" s="61" t="n"/>
      <c r="I136" s="60" t="n"/>
      <c r="J136" s="62" t="n"/>
      <c r="K136" s="52" t="n"/>
      <c r="L136" s="63">
        <f>IF(OR(B136="",H136="",E136="Done"),"",ROUNDDOWN(H136-NOW(),0))</f>
        <v/>
      </c>
      <c r="M136" s="58">
        <f>IF(B136="","",IF(E136="Done","Complete",IF(E136="Blocked","Blocked",IF(H136="","No due date",IF(H136&lt;NOW(),"Overdue",IF(H136-NOW()&lt;=3,"Due soon","On track"))))))</f>
        <v/>
      </c>
      <c r="N136" s="51" t="n"/>
      <c r="O136" s="65" t="n"/>
      <c r="P136" s="64">
        <f>IF(OR(B136="",E136="Done",H136=""),"",H136+ROW()/10000000)</f>
        <v/>
      </c>
    </row>
    <row r="137">
      <c r="A137" s="58">
        <f>IF(B137="","","T-"&amp;TEXT(ROW()-5,"000"))</f>
        <v/>
      </c>
      <c r="B137" s="65" t="n"/>
      <c r="C137" s="51" t="n"/>
      <c r="D137" s="51" t="n"/>
      <c r="E137" s="51" t="n"/>
      <c r="F137" s="51" t="n"/>
      <c r="G137" s="60" t="n"/>
      <c r="H137" s="61" t="n"/>
      <c r="I137" s="60" t="n"/>
      <c r="J137" s="62" t="n"/>
      <c r="K137" s="52" t="n"/>
      <c r="L137" s="63">
        <f>IF(OR(B137="",H137="",E137="Done"),"",ROUNDDOWN(H137-NOW(),0))</f>
        <v/>
      </c>
      <c r="M137" s="58">
        <f>IF(B137="","",IF(E137="Done","Complete",IF(E137="Blocked","Blocked",IF(H137="","No due date",IF(H137&lt;NOW(),"Overdue",IF(H137-NOW()&lt;=3,"Due soon","On track"))))))</f>
        <v/>
      </c>
      <c r="N137" s="51" t="n"/>
      <c r="O137" s="65" t="n"/>
      <c r="P137" s="64">
        <f>IF(OR(B137="",E137="Done",H137=""),"",H137+ROW()/10000000)</f>
        <v/>
      </c>
    </row>
    <row r="138">
      <c r="A138" s="58">
        <f>IF(B138="","","T-"&amp;TEXT(ROW()-5,"000"))</f>
        <v/>
      </c>
      <c r="B138" s="65" t="n"/>
      <c r="C138" s="51" t="n"/>
      <c r="D138" s="51" t="n"/>
      <c r="E138" s="51" t="n"/>
      <c r="F138" s="51" t="n"/>
      <c r="G138" s="60" t="n"/>
      <c r="H138" s="61" t="n"/>
      <c r="I138" s="60" t="n"/>
      <c r="J138" s="62" t="n"/>
      <c r="K138" s="52" t="n"/>
      <c r="L138" s="63">
        <f>IF(OR(B138="",H138="",E138="Done"),"",ROUNDDOWN(H138-NOW(),0))</f>
        <v/>
      </c>
      <c r="M138" s="58">
        <f>IF(B138="","",IF(E138="Done","Complete",IF(E138="Blocked","Blocked",IF(H138="","No due date",IF(H138&lt;NOW(),"Overdue",IF(H138-NOW()&lt;=3,"Due soon","On track"))))))</f>
        <v/>
      </c>
      <c r="N138" s="51" t="n"/>
      <c r="O138" s="65" t="n"/>
      <c r="P138" s="64">
        <f>IF(OR(B138="",E138="Done",H138=""),"",H138+ROW()/10000000)</f>
        <v/>
      </c>
    </row>
    <row r="139">
      <c r="A139" s="58">
        <f>IF(B139="","","T-"&amp;TEXT(ROW()-5,"000"))</f>
        <v/>
      </c>
      <c r="B139" s="65" t="n"/>
      <c r="C139" s="51" t="n"/>
      <c r="D139" s="51" t="n"/>
      <c r="E139" s="51" t="n"/>
      <c r="F139" s="51" t="n"/>
      <c r="G139" s="60" t="n"/>
      <c r="H139" s="61" t="n"/>
      <c r="I139" s="60" t="n"/>
      <c r="J139" s="62" t="n"/>
      <c r="K139" s="52" t="n"/>
      <c r="L139" s="63">
        <f>IF(OR(B139="",H139="",E139="Done"),"",ROUNDDOWN(H139-NOW(),0))</f>
        <v/>
      </c>
      <c r="M139" s="58">
        <f>IF(B139="","",IF(E139="Done","Complete",IF(E139="Blocked","Blocked",IF(H139="","No due date",IF(H139&lt;NOW(),"Overdue",IF(H139-NOW()&lt;=3,"Due soon","On track"))))))</f>
        <v/>
      </c>
      <c r="N139" s="51" t="n"/>
      <c r="O139" s="65" t="n"/>
      <c r="P139" s="64">
        <f>IF(OR(B139="",E139="Done",H139=""),"",H139+ROW()/10000000)</f>
        <v/>
      </c>
    </row>
    <row r="140">
      <c r="A140" s="58">
        <f>IF(B140="","","T-"&amp;TEXT(ROW()-5,"000"))</f>
        <v/>
      </c>
      <c r="B140" s="65" t="n"/>
      <c r="C140" s="51" t="n"/>
      <c r="D140" s="51" t="n"/>
      <c r="E140" s="51" t="n"/>
      <c r="F140" s="51" t="n"/>
      <c r="G140" s="60" t="n"/>
      <c r="H140" s="61" t="n"/>
      <c r="I140" s="60" t="n"/>
      <c r="J140" s="62" t="n"/>
      <c r="K140" s="52" t="n"/>
      <c r="L140" s="63">
        <f>IF(OR(B140="",H140="",E140="Done"),"",ROUNDDOWN(H140-NOW(),0))</f>
        <v/>
      </c>
      <c r="M140" s="58">
        <f>IF(B140="","",IF(E140="Done","Complete",IF(E140="Blocked","Blocked",IF(H140="","No due date",IF(H140&lt;NOW(),"Overdue",IF(H140-NOW()&lt;=3,"Due soon","On track"))))))</f>
        <v/>
      </c>
      <c r="N140" s="51" t="n"/>
      <c r="O140" s="65" t="n"/>
      <c r="P140" s="64">
        <f>IF(OR(B140="",E140="Done",H140=""),"",H140+ROW()/10000000)</f>
        <v/>
      </c>
    </row>
    <row r="141">
      <c r="A141" s="58">
        <f>IF(B141="","","T-"&amp;TEXT(ROW()-5,"000"))</f>
        <v/>
      </c>
      <c r="B141" s="65" t="n"/>
      <c r="C141" s="51" t="n"/>
      <c r="D141" s="51" t="n"/>
      <c r="E141" s="51" t="n"/>
      <c r="F141" s="51" t="n"/>
      <c r="G141" s="60" t="n"/>
      <c r="H141" s="61" t="n"/>
      <c r="I141" s="60" t="n"/>
      <c r="J141" s="62" t="n"/>
      <c r="K141" s="52" t="n"/>
      <c r="L141" s="63">
        <f>IF(OR(B141="",H141="",E141="Done"),"",ROUNDDOWN(H141-NOW(),0))</f>
        <v/>
      </c>
      <c r="M141" s="58">
        <f>IF(B141="","",IF(E141="Done","Complete",IF(E141="Blocked","Blocked",IF(H141="","No due date",IF(H141&lt;NOW(),"Overdue",IF(H141-NOW()&lt;=3,"Due soon","On track"))))))</f>
        <v/>
      </c>
      <c r="N141" s="51" t="n"/>
      <c r="O141" s="65" t="n"/>
      <c r="P141" s="64">
        <f>IF(OR(B141="",E141="Done",H141=""),"",H141+ROW()/10000000)</f>
        <v/>
      </c>
    </row>
    <row r="142">
      <c r="A142" s="58">
        <f>IF(B142="","","T-"&amp;TEXT(ROW()-5,"000"))</f>
        <v/>
      </c>
      <c r="B142" s="65" t="n"/>
      <c r="C142" s="51" t="n"/>
      <c r="D142" s="51" t="n"/>
      <c r="E142" s="51" t="n"/>
      <c r="F142" s="51" t="n"/>
      <c r="G142" s="60" t="n"/>
      <c r="H142" s="61" t="n"/>
      <c r="I142" s="60" t="n"/>
      <c r="J142" s="62" t="n"/>
      <c r="K142" s="52" t="n"/>
      <c r="L142" s="63">
        <f>IF(OR(B142="",H142="",E142="Done"),"",ROUNDDOWN(H142-NOW(),0))</f>
        <v/>
      </c>
      <c r="M142" s="58">
        <f>IF(B142="","",IF(E142="Done","Complete",IF(E142="Blocked","Blocked",IF(H142="","No due date",IF(H142&lt;NOW(),"Overdue",IF(H142-NOW()&lt;=3,"Due soon","On track"))))))</f>
        <v/>
      </c>
      <c r="N142" s="51" t="n"/>
      <c r="O142" s="65" t="n"/>
      <c r="P142" s="64">
        <f>IF(OR(B142="",E142="Done",H142=""),"",H142+ROW()/10000000)</f>
        <v/>
      </c>
    </row>
    <row r="143">
      <c r="A143" s="58">
        <f>IF(B143="","","T-"&amp;TEXT(ROW()-5,"000"))</f>
        <v/>
      </c>
      <c r="B143" s="65" t="n"/>
      <c r="C143" s="51" t="n"/>
      <c r="D143" s="51" t="n"/>
      <c r="E143" s="51" t="n"/>
      <c r="F143" s="51" t="n"/>
      <c r="G143" s="60" t="n"/>
      <c r="H143" s="61" t="n"/>
      <c r="I143" s="60" t="n"/>
      <c r="J143" s="62" t="n"/>
      <c r="K143" s="52" t="n"/>
      <c r="L143" s="63">
        <f>IF(OR(B143="",H143="",E143="Done"),"",ROUNDDOWN(H143-NOW(),0))</f>
        <v/>
      </c>
      <c r="M143" s="58">
        <f>IF(B143="","",IF(E143="Done","Complete",IF(E143="Blocked","Blocked",IF(H143="","No due date",IF(H143&lt;NOW(),"Overdue",IF(H143-NOW()&lt;=3,"Due soon","On track"))))))</f>
        <v/>
      </c>
      <c r="N143" s="51" t="n"/>
      <c r="O143" s="65" t="n"/>
      <c r="P143" s="64">
        <f>IF(OR(B143="",E143="Done",H143=""),"",H143+ROW()/10000000)</f>
        <v/>
      </c>
    </row>
    <row r="144">
      <c r="A144" s="58">
        <f>IF(B144="","","T-"&amp;TEXT(ROW()-5,"000"))</f>
        <v/>
      </c>
      <c r="B144" s="65" t="n"/>
      <c r="C144" s="51" t="n"/>
      <c r="D144" s="51" t="n"/>
      <c r="E144" s="51" t="n"/>
      <c r="F144" s="51" t="n"/>
      <c r="G144" s="60" t="n"/>
      <c r="H144" s="61" t="n"/>
      <c r="I144" s="60" t="n"/>
      <c r="J144" s="62" t="n"/>
      <c r="K144" s="52" t="n"/>
      <c r="L144" s="63">
        <f>IF(OR(B144="",H144="",E144="Done"),"",ROUNDDOWN(H144-NOW(),0))</f>
        <v/>
      </c>
      <c r="M144" s="58">
        <f>IF(B144="","",IF(E144="Done","Complete",IF(E144="Blocked","Blocked",IF(H144="","No due date",IF(H144&lt;NOW(),"Overdue",IF(H144-NOW()&lt;=3,"Due soon","On track"))))))</f>
        <v/>
      </c>
      <c r="N144" s="51" t="n"/>
      <c r="O144" s="65" t="n"/>
      <c r="P144" s="64">
        <f>IF(OR(B144="",E144="Done",H144=""),"",H144+ROW()/10000000)</f>
        <v/>
      </c>
    </row>
    <row r="145">
      <c r="A145" s="58">
        <f>IF(B145="","","T-"&amp;TEXT(ROW()-5,"000"))</f>
        <v/>
      </c>
      <c r="B145" s="65" t="n"/>
      <c r="C145" s="51" t="n"/>
      <c r="D145" s="51" t="n"/>
      <c r="E145" s="51" t="n"/>
      <c r="F145" s="51" t="n"/>
      <c r="G145" s="60" t="n"/>
      <c r="H145" s="61" t="n"/>
      <c r="I145" s="60" t="n"/>
      <c r="J145" s="62" t="n"/>
      <c r="K145" s="52" t="n"/>
      <c r="L145" s="63">
        <f>IF(OR(B145="",H145="",E145="Done"),"",ROUNDDOWN(H145-NOW(),0))</f>
        <v/>
      </c>
      <c r="M145" s="58">
        <f>IF(B145="","",IF(E145="Done","Complete",IF(E145="Blocked","Blocked",IF(H145="","No due date",IF(H145&lt;NOW(),"Overdue",IF(H145-NOW()&lt;=3,"Due soon","On track"))))))</f>
        <v/>
      </c>
      <c r="N145" s="51" t="n"/>
      <c r="O145" s="65" t="n"/>
      <c r="P145" s="64">
        <f>IF(OR(B145="",E145="Done",H145=""),"",H145+ROW()/10000000)</f>
        <v/>
      </c>
    </row>
    <row r="146">
      <c r="A146" s="58">
        <f>IF(B146="","","T-"&amp;TEXT(ROW()-5,"000"))</f>
        <v/>
      </c>
      <c r="B146" s="65" t="n"/>
      <c r="C146" s="51" t="n"/>
      <c r="D146" s="51" t="n"/>
      <c r="E146" s="51" t="n"/>
      <c r="F146" s="51" t="n"/>
      <c r="G146" s="60" t="n"/>
      <c r="H146" s="61" t="n"/>
      <c r="I146" s="60" t="n"/>
      <c r="J146" s="62" t="n"/>
      <c r="K146" s="52" t="n"/>
      <c r="L146" s="63">
        <f>IF(OR(B146="",H146="",E146="Done"),"",ROUNDDOWN(H146-NOW(),0))</f>
        <v/>
      </c>
      <c r="M146" s="58">
        <f>IF(B146="","",IF(E146="Done","Complete",IF(E146="Blocked","Blocked",IF(H146="","No due date",IF(H146&lt;NOW(),"Overdue",IF(H146-NOW()&lt;=3,"Due soon","On track"))))))</f>
        <v/>
      </c>
      <c r="N146" s="51" t="n"/>
      <c r="O146" s="65" t="n"/>
      <c r="P146" s="64">
        <f>IF(OR(B146="",E146="Done",H146=""),"",H146+ROW()/10000000)</f>
        <v/>
      </c>
    </row>
    <row r="147">
      <c r="A147" s="58">
        <f>IF(B147="","","T-"&amp;TEXT(ROW()-5,"000"))</f>
        <v/>
      </c>
      <c r="B147" s="65" t="n"/>
      <c r="C147" s="51" t="n"/>
      <c r="D147" s="51" t="n"/>
      <c r="E147" s="51" t="n"/>
      <c r="F147" s="51" t="n"/>
      <c r="G147" s="60" t="n"/>
      <c r="H147" s="61" t="n"/>
      <c r="I147" s="60" t="n"/>
      <c r="J147" s="62" t="n"/>
      <c r="K147" s="52" t="n"/>
      <c r="L147" s="63">
        <f>IF(OR(B147="",H147="",E147="Done"),"",ROUNDDOWN(H147-NOW(),0))</f>
        <v/>
      </c>
      <c r="M147" s="58">
        <f>IF(B147="","",IF(E147="Done","Complete",IF(E147="Blocked","Blocked",IF(H147="","No due date",IF(H147&lt;NOW(),"Overdue",IF(H147-NOW()&lt;=3,"Due soon","On track"))))))</f>
        <v/>
      </c>
      <c r="N147" s="51" t="n"/>
      <c r="O147" s="65" t="n"/>
      <c r="P147" s="64">
        <f>IF(OR(B147="",E147="Done",H147=""),"",H147+ROW()/10000000)</f>
        <v/>
      </c>
    </row>
    <row r="148">
      <c r="A148" s="58">
        <f>IF(B148="","","T-"&amp;TEXT(ROW()-5,"000"))</f>
        <v/>
      </c>
      <c r="B148" s="65" t="n"/>
      <c r="C148" s="51" t="n"/>
      <c r="D148" s="51" t="n"/>
      <c r="E148" s="51" t="n"/>
      <c r="F148" s="51" t="n"/>
      <c r="G148" s="60" t="n"/>
      <c r="H148" s="61" t="n"/>
      <c r="I148" s="60" t="n"/>
      <c r="J148" s="62" t="n"/>
      <c r="K148" s="52" t="n"/>
      <c r="L148" s="63">
        <f>IF(OR(B148="",H148="",E148="Done"),"",ROUNDDOWN(H148-NOW(),0))</f>
        <v/>
      </c>
      <c r="M148" s="58">
        <f>IF(B148="","",IF(E148="Done","Complete",IF(E148="Blocked","Blocked",IF(H148="","No due date",IF(H148&lt;NOW(),"Overdue",IF(H148-NOW()&lt;=3,"Due soon","On track"))))))</f>
        <v/>
      </c>
      <c r="N148" s="51" t="n"/>
      <c r="O148" s="65" t="n"/>
      <c r="P148" s="64">
        <f>IF(OR(B148="",E148="Done",H148=""),"",H148+ROW()/10000000)</f>
        <v/>
      </c>
    </row>
    <row r="149">
      <c r="A149" s="58">
        <f>IF(B149="","","T-"&amp;TEXT(ROW()-5,"000"))</f>
        <v/>
      </c>
      <c r="B149" s="65" t="n"/>
      <c r="C149" s="51" t="n"/>
      <c r="D149" s="51" t="n"/>
      <c r="E149" s="51" t="n"/>
      <c r="F149" s="51" t="n"/>
      <c r="G149" s="60" t="n"/>
      <c r="H149" s="61" t="n"/>
      <c r="I149" s="60" t="n"/>
      <c r="J149" s="62" t="n"/>
      <c r="K149" s="52" t="n"/>
      <c r="L149" s="63">
        <f>IF(OR(B149="",H149="",E149="Done"),"",ROUNDDOWN(H149-NOW(),0))</f>
        <v/>
      </c>
      <c r="M149" s="58">
        <f>IF(B149="","",IF(E149="Done","Complete",IF(E149="Blocked","Blocked",IF(H149="","No due date",IF(H149&lt;NOW(),"Overdue",IF(H149-NOW()&lt;=3,"Due soon","On track"))))))</f>
        <v/>
      </c>
      <c r="N149" s="51" t="n"/>
      <c r="O149" s="65" t="n"/>
      <c r="P149" s="64">
        <f>IF(OR(B149="",E149="Done",H149=""),"",H149+ROW()/10000000)</f>
        <v/>
      </c>
    </row>
    <row r="150">
      <c r="A150" s="58">
        <f>IF(B150="","","T-"&amp;TEXT(ROW()-5,"000"))</f>
        <v/>
      </c>
      <c r="B150" s="65" t="n"/>
      <c r="C150" s="51" t="n"/>
      <c r="D150" s="51" t="n"/>
      <c r="E150" s="51" t="n"/>
      <c r="F150" s="51" t="n"/>
      <c r="G150" s="60" t="n"/>
      <c r="H150" s="61" t="n"/>
      <c r="I150" s="60" t="n"/>
      <c r="J150" s="62" t="n"/>
      <c r="K150" s="52" t="n"/>
      <c r="L150" s="63">
        <f>IF(OR(B150="",H150="",E150="Done"),"",ROUNDDOWN(H150-NOW(),0))</f>
        <v/>
      </c>
      <c r="M150" s="58">
        <f>IF(B150="","",IF(E150="Done","Complete",IF(E150="Blocked","Blocked",IF(H150="","No due date",IF(H150&lt;NOW(),"Overdue",IF(H150-NOW()&lt;=3,"Due soon","On track"))))))</f>
        <v/>
      </c>
      <c r="N150" s="51" t="n"/>
      <c r="O150" s="65" t="n"/>
      <c r="P150" s="64">
        <f>IF(OR(B150="",E150="Done",H150=""),"",H150+ROW()/10000000)</f>
        <v/>
      </c>
    </row>
    <row r="151">
      <c r="A151" s="58">
        <f>IF(B151="","","T-"&amp;TEXT(ROW()-5,"000"))</f>
        <v/>
      </c>
      <c r="B151" s="65" t="n"/>
      <c r="C151" s="51" t="n"/>
      <c r="D151" s="51" t="n"/>
      <c r="E151" s="51" t="n"/>
      <c r="F151" s="51" t="n"/>
      <c r="G151" s="60" t="n"/>
      <c r="H151" s="61" t="n"/>
      <c r="I151" s="60" t="n"/>
      <c r="J151" s="62" t="n"/>
      <c r="K151" s="52" t="n"/>
      <c r="L151" s="63">
        <f>IF(OR(B151="",H151="",E151="Done"),"",ROUNDDOWN(H151-NOW(),0))</f>
        <v/>
      </c>
      <c r="M151" s="58">
        <f>IF(B151="","",IF(E151="Done","Complete",IF(E151="Blocked","Blocked",IF(H151="","No due date",IF(H151&lt;NOW(),"Overdue",IF(H151-NOW()&lt;=3,"Due soon","On track"))))))</f>
        <v/>
      </c>
      <c r="N151" s="51" t="n"/>
      <c r="O151" s="65" t="n"/>
      <c r="P151" s="64">
        <f>IF(OR(B151="",E151="Done",H151=""),"",H151+ROW()/10000000)</f>
        <v/>
      </c>
    </row>
    <row r="152">
      <c r="A152" s="58">
        <f>IF(B152="","","T-"&amp;TEXT(ROW()-5,"000"))</f>
        <v/>
      </c>
      <c r="B152" s="65" t="n"/>
      <c r="C152" s="51" t="n"/>
      <c r="D152" s="51" t="n"/>
      <c r="E152" s="51" t="n"/>
      <c r="F152" s="51" t="n"/>
      <c r="G152" s="60" t="n"/>
      <c r="H152" s="61" t="n"/>
      <c r="I152" s="60" t="n"/>
      <c r="J152" s="62" t="n"/>
      <c r="K152" s="52" t="n"/>
      <c r="L152" s="63">
        <f>IF(OR(B152="",H152="",E152="Done"),"",ROUNDDOWN(H152-NOW(),0))</f>
        <v/>
      </c>
      <c r="M152" s="58">
        <f>IF(B152="","",IF(E152="Done","Complete",IF(E152="Blocked","Blocked",IF(H152="","No due date",IF(H152&lt;NOW(),"Overdue",IF(H152-NOW()&lt;=3,"Due soon","On track"))))))</f>
        <v/>
      </c>
      <c r="N152" s="51" t="n"/>
      <c r="O152" s="65" t="n"/>
      <c r="P152" s="64">
        <f>IF(OR(B152="",E152="Done",H152=""),"",H152+ROW()/10000000)</f>
        <v/>
      </c>
    </row>
    <row r="153">
      <c r="A153" s="58">
        <f>IF(B153="","","T-"&amp;TEXT(ROW()-5,"000"))</f>
        <v/>
      </c>
      <c r="B153" s="65" t="n"/>
      <c r="C153" s="51" t="n"/>
      <c r="D153" s="51" t="n"/>
      <c r="E153" s="51" t="n"/>
      <c r="F153" s="51" t="n"/>
      <c r="G153" s="60" t="n"/>
      <c r="H153" s="61" t="n"/>
      <c r="I153" s="60" t="n"/>
      <c r="J153" s="62" t="n"/>
      <c r="K153" s="52" t="n"/>
      <c r="L153" s="63">
        <f>IF(OR(B153="",H153="",E153="Done"),"",ROUNDDOWN(H153-NOW(),0))</f>
        <v/>
      </c>
      <c r="M153" s="58">
        <f>IF(B153="","",IF(E153="Done","Complete",IF(E153="Blocked","Blocked",IF(H153="","No due date",IF(H153&lt;NOW(),"Overdue",IF(H153-NOW()&lt;=3,"Due soon","On track"))))))</f>
        <v/>
      </c>
      <c r="N153" s="51" t="n"/>
      <c r="O153" s="65" t="n"/>
      <c r="P153" s="64">
        <f>IF(OR(B153="",E153="Done",H153=""),"",H153+ROW()/10000000)</f>
        <v/>
      </c>
    </row>
    <row r="154">
      <c r="A154" s="58">
        <f>IF(B154="","","T-"&amp;TEXT(ROW()-5,"000"))</f>
        <v/>
      </c>
      <c r="B154" s="65" t="n"/>
      <c r="C154" s="51" t="n"/>
      <c r="D154" s="51" t="n"/>
      <c r="E154" s="51" t="n"/>
      <c r="F154" s="51" t="n"/>
      <c r="G154" s="60" t="n"/>
      <c r="H154" s="61" t="n"/>
      <c r="I154" s="60" t="n"/>
      <c r="J154" s="62" t="n"/>
      <c r="K154" s="52" t="n"/>
      <c r="L154" s="63">
        <f>IF(OR(B154="",H154="",E154="Done"),"",ROUNDDOWN(H154-NOW(),0))</f>
        <v/>
      </c>
      <c r="M154" s="58">
        <f>IF(B154="","",IF(E154="Done","Complete",IF(E154="Blocked","Blocked",IF(H154="","No due date",IF(H154&lt;NOW(),"Overdue",IF(H154-NOW()&lt;=3,"Due soon","On track"))))))</f>
        <v/>
      </c>
      <c r="N154" s="51" t="n"/>
      <c r="O154" s="65" t="n"/>
      <c r="P154" s="64">
        <f>IF(OR(B154="",E154="Done",H154=""),"",H154+ROW()/10000000)</f>
        <v/>
      </c>
    </row>
    <row r="155">
      <c r="A155" s="58">
        <f>IF(B155="","","T-"&amp;TEXT(ROW()-5,"000"))</f>
        <v/>
      </c>
      <c r="B155" s="65" t="n"/>
      <c r="C155" s="51" t="n"/>
      <c r="D155" s="51" t="n"/>
      <c r="E155" s="51" t="n"/>
      <c r="F155" s="51" t="n"/>
      <c r="G155" s="60" t="n"/>
      <c r="H155" s="61" t="n"/>
      <c r="I155" s="60" t="n"/>
      <c r="J155" s="62" t="n"/>
      <c r="K155" s="52" t="n"/>
      <c r="L155" s="63">
        <f>IF(OR(B155="",H155="",E155="Done"),"",ROUNDDOWN(H155-NOW(),0))</f>
        <v/>
      </c>
      <c r="M155" s="58">
        <f>IF(B155="","",IF(E155="Done","Complete",IF(E155="Blocked","Blocked",IF(H155="","No due date",IF(H155&lt;NOW(),"Overdue",IF(H155-NOW()&lt;=3,"Due soon","On track"))))))</f>
        <v/>
      </c>
      <c r="N155" s="51" t="n"/>
      <c r="O155" s="65" t="n"/>
      <c r="P155" s="64">
        <f>IF(OR(B155="",E155="Done",H155=""),"",H155+ROW()/10000000)</f>
        <v/>
      </c>
    </row>
    <row r="156">
      <c r="A156" s="58">
        <f>IF(B156="","","T-"&amp;TEXT(ROW()-5,"000"))</f>
        <v/>
      </c>
      <c r="B156" s="65" t="n"/>
      <c r="C156" s="51" t="n"/>
      <c r="D156" s="51" t="n"/>
      <c r="E156" s="51" t="n"/>
      <c r="F156" s="51" t="n"/>
      <c r="G156" s="60" t="n"/>
      <c r="H156" s="61" t="n"/>
      <c r="I156" s="60" t="n"/>
      <c r="J156" s="62" t="n"/>
      <c r="K156" s="52" t="n"/>
      <c r="L156" s="63">
        <f>IF(OR(B156="",H156="",E156="Done"),"",ROUNDDOWN(H156-NOW(),0))</f>
        <v/>
      </c>
      <c r="M156" s="58">
        <f>IF(B156="","",IF(E156="Done","Complete",IF(E156="Blocked","Blocked",IF(H156="","No due date",IF(H156&lt;NOW(),"Overdue",IF(H156-NOW()&lt;=3,"Due soon","On track"))))))</f>
        <v/>
      </c>
      <c r="N156" s="51" t="n"/>
      <c r="O156" s="65" t="n"/>
      <c r="P156" s="64">
        <f>IF(OR(B156="",E156="Done",H156=""),"",H156+ROW()/10000000)</f>
        <v/>
      </c>
    </row>
    <row r="157">
      <c r="A157" s="58">
        <f>IF(B157="","","T-"&amp;TEXT(ROW()-5,"000"))</f>
        <v/>
      </c>
      <c r="B157" s="65" t="n"/>
      <c r="C157" s="51" t="n"/>
      <c r="D157" s="51" t="n"/>
      <c r="E157" s="51" t="n"/>
      <c r="F157" s="51" t="n"/>
      <c r="G157" s="60" t="n"/>
      <c r="H157" s="61" t="n"/>
      <c r="I157" s="60" t="n"/>
      <c r="J157" s="62" t="n"/>
      <c r="K157" s="52" t="n"/>
      <c r="L157" s="63">
        <f>IF(OR(B157="",H157="",E157="Done"),"",ROUNDDOWN(H157-NOW(),0))</f>
        <v/>
      </c>
      <c r="M157" s="58">
        <f>IF(B157="","",IF(E157="Done","Complete",IF(E157="Blocked","Blocked",IF(H157="","No due date",IF(H157&lt;NOW(),"Overdue",IF(H157-NOW()&lt;=3,"Due soon","On track"))))))</f>
        <v/>
      </c>
      <c r="N157" s="51" t="n"/>
      <c r="O157" s="65" t="n"/>
      <c r="P157" s="64">
        <f>IF(OR(B157="",E157="Done",H157=""),"",H157+ROW()/10000000)</f>
        <v/>
      </c>
    </row>
    <row r="158">
      <c r="A158" s="58">
        <f>IF(B158="","","T-"&amp;TEXT(ROW()-5,"000"))</f>
        <v/>
      </c>
      <c r="B158" s="65" t="n"/>
      <c r="C158" s="51" t="n"/>
      <c r="D158" s="51" t="n"/>
      <c r="E158" s="51" t="n"/>
      <c r="F158" s="51" t="n"/>
      <c r="G158" s="60" t="n"/>
      <c r="H158" s="61" t="n"/>
      <c r="I158" s="60" t="n"/>
      <c r="J158" s="62" t="n"/>
      <c r="K158" s="52" t="n"/>
      <c r="L158" s="63">
        <f>IF(OR(B158="",H158="",E158="Done"),"",ROUNDDOWN(H158-NOW(),0))</f>
        <v/>
      </c>
      <c r="M158" s="58">
        <f>IF(B158="","",IF(E158="Done","Complete",IF(E158="Blocked","Blocked",IF(H158="","No due date",IF(H158&lt;NOW(),"Overdue",IF(H158-NOW()&lt;=3,"Due soon","On track"))))))</f>
        <v/>
      </c>
      <c r="N158" s="51" t="n"/>
      <c r="O158" s="65" t="n"/>
      <c r="P158" s="64">
        <f>IF(OR(B158="",E158="Done",H158=""),"",H158+ROW()/10000000)</f>
        <v/>
      </c>
    </row>
    <row r="159">
      <c r="A159" s="58">
        <f>IF(B159="","","T-"&amp;TEXT(ROW()-5,"000"))</f>
        <v/>
      </c>
      <c r="B159" s="65" t="n"/>
      <c r="C159" s="51" t="n"/>
      <c r="D159" s="51" t="n"/>
      <c r="E159" s="51" t="n"/>
      <c r="F159" s="51" t="n"/>
      <c r="G159" s="60" t="n"/>
      <c r="H159" s="61" t="n"/>
      <c r="I159" s="60" t="n"/>
      <c r="J159" s="62" t="n"/>
      <c r="K159" s="52" t="n"/>
      <c r="L159" s="63">
        <f>IF(OR(B159="",H159="",E159="Done"),"",ROUNDDOWN(H159-NOW(),0))</f>
        <v/>
      </c>
      <c r="M159" s="58">
        <f>IF(B159="","",IF(E159="Done","Complete",IF(E159="Blocked","Blocked",IF(H159="","No due date",IF(H159&lt;NOW(),"Overdue",IF(H159-NOW()&lt;=3,"Due soon","On track"))))))</f>
        <v/>
      </c>
      <c r="N159" s="51" t="n"/>
      <c r="O159" s="65" t="n"/>
      <c r="P159" s="64">
        <f>IF(OR(B159="",E159="Done",H159=""),"",H159+ROW()/10000000)</f>
        <v/>
      </c>
    </row>
    <row r="160">
      <c r="A160" s="58">
        <f>IF(B160="","","T-"&amp;TEXT(ROW()-5,"000"))</f>
        <v/>
      </c>
      <c r="B160" s="65" t="n"/>
      <c r="C160" s="51" t="n"/>
      <c r="D160" s="51" t="n"/>
      <c r="E160" s="51" t="n"/>
      <c r="F160" s="51" t="n"/>
      <c r="G160" s="60" t="n"/>
      <c r="H160" s="61" t="n"/>
      <c r="I160" s="60" t="n"/>
      <c r="J160" s="62" t="n"/>
      <c r="K160" s="52" t="n"/>
      <c r="L160" s="63">
        <f>IF(OR(B160="",H160="",E160="Done"),"",ROUNDDOWN(H160-NOW(),0))</f>
        <v/>
      </c>
      <c r="M160" s="58">
        <f>IF(B160="","",IF(E160="Done","Complete",IF(E160="Blocked","Blocked",IF(H160="","No due date",IF(H160&lt;NOW(),"Overdue",IF(H160-NOW()&lt;=3,"Due soon","On track"))))))</f>
        <v/>
      </c>
      <c r="N160" s="51" t="n"/>
      <c r="O160" s="65" t="n"/>
      <c r="P160" s="64">
        <f>IF(OR(B160="",E160="Done",H160=""),"",H160+ROW()/10000000)</f>
        <v/>
      </c>
    </row>
    <row r="161">
      <c r="A161" s="58">
        <f>IF(B161="","","T-"&amp;TEXT(ROW()-5,"000"))</f>
        <v/>
      </c>
      <c r="B161" s="65" t="n"/>
      <c r="C161" s="51" t="n"/>
      <c r="D161" s="51" t="n"/>
      <c r="E161" s="51" t="n"/>
      <c r="F161" s="51" t="n"/>
      <c r="G161" s="60" t="n"/>
      <c r="H161" s="61" t="n"/>
      <c r="I161" s="60" t="n"/>
      <c r="J161" s="62" t="n"/>
      <c r="K161" s="52" t="n"/>
      <c r="L161" s="63">
        <f>IF(OR(B161="",H161="",E161="Done"),"",ROUNDDOWN(H161-NOW(),0))</f>
        <v/>
      </c>
      <c r="M161" s="58">
        <f>IF(B161="","",IF(E161="Done","Complete",IF(E161="Blocked","Blocked",IF(H161="","No due date",IF(H161&lt;NOW(),"Overdue",IF(H161-NOW()&lt;=3,"Due soon","On track"))))))</f>
        <v/>
      </c>
      <c r="N161" s="51" t="n"/>
      <c r="O161" s="65" t="n"/>
      <c r="P161" s="64">
        <f>IF(OR(B161="",E161="Done",H161=""),"",H161+ROW()/10000000)</f>
        <v/>
      </c>
    </row>
    <row r="162">
      <c r="A162" s="58">
        <f>IF(B162="","","T-"&amp;TEXT(ROW()-5,"000"))</f>
        <v/>
      </c>
      <c r="B162" s="65" t="n"/>
      <c r="C162" s="51" t="n"/>
      <c r="D162" s="51" t="n"/>
      <c r="E162" s="51" t="n"/>
      <c r="F162" s="51" t="n"/>
      <c r="G162" s="60" t="n"/>
      <c r="H162" s="61" t="n"/>
      <c r="I162" s="60" t="n"/>
      <c r="J162" s="62" t="n"/>
      <c r="K162" s="52" t="n"/>
      <c r="L162" s="63">
        <f>IF(OR(B162="",H162="",E162="Done"),"",ROUNDDOWN(H162-NOW(),0))</f>
        <v/>
      </c>
      <c r="M162" s="58">
        <f>IF(B162="","",IF(E162="Done","Complete",IF(E162="Blocked","Blocked",IF(H162="","No due date",IF(H162&lt;NOW(),"Overdue",IF(H162-NOW()&lt;=3,"Due soon","On track"))))))</f>
        <v/>
      </c>
      <c r="N162" s="51" t="n"/>
      <c r="O162" s="65" t="n"/>
      <c r="P162" s="64">
        <f>IF(OR(B162="",E162="Done",H162=""),"",H162+ROW()/10000000)</f>
        <v/>
      </c>
    </row>
    <row r="163">
      <c r="A163" s="58">
        <f>IF(B163="","","T-"&amp;TEXT(ROW()-5,"000"))</f>
        <v/>
      </c>
      <c r="B163" s="65" t="n"/>
      <c r="C163" s="51" t="n"/>
      <c r="D163" s="51" t="n"/>
      <c r="E163" s="51" t="n"/>
      <c r="F163" s="51" t="n"/>
      <c r="G163" s="60" t="n"/>
      <c r="H163" s="61" t="n"/>
      <c r="I163" s="60" t="n"/>
      <c r="J163" s="62" t="n"/>
      <c r="K163" s="52" t="n"/>
      <c r="L163" s="63">
        <f>IF(OR(B163="",H163="",E163="Done"),"",ROUNDDOWN(H163-NOW(),0))</f>
        <v/>
      </c>
      <c r="M163" s="58">
        <f>IF(B163="","",IF(E163="Done","Complete",IF(E163="Blocked","Blocked",IF(H163="","No due date",IF(H163&lt;NOW(),"Overdue",IF(H163-NOW()&lt;=3,"Due soon","On track"))))))</f>
        <v/>
      </c>
      <c r="N163" s="51" t="n"/>
      <c r="O163" s="65" t="n"/>
      <c r="P163" s="64">
        <f>IF(OR(B163="",E163="Done",H163=""),"",H163+ROW()/10000000)</f>
        <v/>
      </c>
    </row>
    <row r="164">
      <c r="A164" s="58">
        <f>IF(B164="","","T-"&amp;TEXT(ROW()-5,"000"))</f>
        <v/>
      </c>
      <c r="B164" s="65" t="n"/>
      <c r="C164" s="51" t="n"/>
      <c r="D164" s="51" t="n"/>
      <c r="E164" s="51" t="n"/>
      <c r="F164" s="51" t="n"/>
      <c r="G164" s="60" t="n"/>
      <c r="H164" s="61" t="n"/>
      <c r="I164" s="60" t="n"/>
      <c r="J164" s="62" t="n"/>
      <c r="K164" s="52" t="n"/>
      <c r="L164" s="63">
        <f>IF(OR(B164="",H164="",E164="Done"),"",ROUNDDOWN(H164-NOW(),0))</f>
        <v/>
      </c>
      <c r="M164" s="58">
        <f>IF(B164="","",IF(E164="Done","Complete",IF(E164="Blocked","Blocked",IF(H164="","No due date",IF(H164&lt;NOW(),"Overdue",IF(H164-NOW()&lt;=3,"Due soon","On track"))))))</f>
        <v/>
      </c>
      <c r="N164" s="51" t="n"/>
      <c r="O164" s="65" t="n"/>
      <c r="P164" s="64">
        <f>IF(OR(B164="",E164="Done",H164=""),"",H164+ROW()/10000000)</f>
        <v/>
      </c>
    </row>
    <row r="165">
      <c r="A165" s="58">
        <f>IF(B165="","","T-"&amp;TEXT(ROW()-5,"000"))</f>
        <v/>
      </c>
      <c r="B165" s="65" t="n"/>
      <c r="C165" s="51" t="n"/>
      <c r="D165" s="51" t="n"/>
      <c r="E165" s="51" t="n"/>
      <c r="F165" s="51" t="n"/>
      <c r="G165" s="60" t="n"/>
      <c r="H165" s="61" t="n"/>
      <c r="I165" s="60" t="n"/>
      <c r="J165" s="62" t="n"/>
      <c r="K165" s="52" t="n"/>
      <c r="L165" s="63">
        <f>IF(OR(B165="",H165="",E165="Done"),"",ROUNDDOWN(H165-NOW(),0))</f>
        <v/>
      </c>
      <c r="M165" s="58">
        <f>IF(B165="","",IF(E165="Done","Complete",IF(E165="Blocked","Blocked",IF(H165="","No due date",IF(H165&lt;NOW(),"Overdue",IF(H165-NOW()&lt;=3,"Due soon","On track"))))))</f>
        <v/>
      </c>
      <c r="N165" s="51" t="n"/>
      <c r="O165" s="65" t="n"/>
      <c r="P165" s="64">
        <f>IF(OR(B165="",E165="Done",H165=""),"",H165+ROW()/10000000)</f>
        <v/>
      </c>
    </row>
    <row r="166">
      <c r="A166" s="58">
        <f>IF(B166="","","T-"&amp;TEXT(ROW()-5,"000"))</f>
        <v/>
      </c>
      <c r="B166" s="65" t="n"/>
      <c r="C166" s="51" t="n"/>
      <c r="D166" s="51" t="n"/>
      <c r="E166" s="51" t="n"/>
      <c r="F166" s="51" t="n"/>
      <c r="G166" s="60" t="n"/>
      <c r="H166" s="61" t="n"/>
      <c r="I166" s="60" t="n"/>
      <c r="J166" s="62" t="n"/>
      <c r="K166" s="52" t="n"/>
      <c r="L166" s="63">
        <f>IF(OR(B166="",H166="",E166="Done"),"",ROUNDDOWN(H166-NOW(),0))</f>
        <v/>
      </c>
      <c r="M166" s="58">
        <f>IF(B166="","",IF(E166="Done","Complete",IF(E166="Blocked","Blocked",IF(H166="","No due date",IF(H166&lt;NOW(),"Overdue",IF(H166-NOW()&lt;=3,"Due soon","On track"))))))</f>
        <v/>
      </c>
      <c r="N166" s="51" t="n"/>
      <c r="O166" s="65" t="n"/>
      <c r="P166" s="64">
        <f>IF(OR(B166="",E166="Done",H166=""),"",H166+ROW()/10000000)</f>
        <v/>
      </c>
    </row>
    <row r="167">
      <c r="A167" s="58">
        <f>IF(B167="","","T-"&amp;TEXT(ROW()-5,"000"))</f>
        <v/>
      </c>
      <c r="B167" s="65" t="n"/>
      <c r="C167" s="51" t="n"/>
      <c r="D167" s="51" t="n"/>
      <c r="E167" s="51" t="n"/>
      <c r="F167" s="51" t="n"/>
      <c r="G167" s="60" t="n"/>
      <c r="H167" s="61" t="n"/>
      <c r="I167" s="60" t="n"/>
      <c r="J167" s="62" t="n"/>
      <c r="K167" s="52" t="n"/>
      <c r="L167" s="63">
        <f>IF(OR(B167="",H167="",E167="Done"),"",ROUNDDOWN(H167-NOW(),0))</f>
        <v/>
      </c>
      <c r="M167" s="58">
        <f>IF(B167="","",IF(E167="Done","Complete",IF(E167="Blocked","Blocked",IF(H167="","No due date",IF(H167&lt;NOW(),"Overdue",IF(H167-NOW()&lt;=3,"Due soon","On track"))))))</f>
        <v/>
      </c>
      <c r="N167" s="51" t="n"/>
      <c r="O167" s="65" t="n"/>
      <c r="P167" s="64">
        <f>IF(OR(B167="",E167="Done",H167=""),"",H167+ROW()/10000000)</f>
        <v/>
      </c>
    </row>
    <row r="168">
      <c r="A168" s="58">
        <f>IF(B168="","","T-"&amp;TEXT(ROW()-5,"000"))</f>
        <v/>
      </c>
      <c r="B168" s="65" t="n"/>
      <c r="C168" s="51" t="n"/>
      <c r="D168" s="51" t="n"/>
      <c r="E168" s="51" t="n"/>
      <c r="F168" s="51" t="n"/>
      <c r="G168" s="60" t="n"/>
      <c r="H168" s="61" t="n"/>
      <c r="I168" s="60" t="n"/>
      <c r="J168" s="62" t="n"/>
      <c r="K168" s="52" t="n"/>
      <c r="L168" s="63">
        <f>IF(OR(B168="",H168="",E168="Done"),"",ROUNDDOWN(H168-NOW(),0))</f>
        <v/>
      </c>
      <c r="M168" s="58">
        <f>IF(B168="","",IF(E168="Done","Complete",IF(E168="Blocked","Blocked",IF(H168="","No due date",IF(H168&lt;NOW(),"Overdue",IF(H168-NOW()&lt;=3,"Due soon","On track"))))))</f>
        <v/>
      </c>
      <c r="N168" s="51" t="n"/>
      <c r="O168" s="65" t="n"/>
      <c r="P168" s="64">
        <f>IF(OR(B168="",E168="Done",H168=""),"",H168+ROW()/10000000)</f>
        <v/>
      </c>
    </row>
    <row r="169">
      <c r="A169" s="58">
        <f>IF(B169="","","T-"&amp;TEXT(ROW()-5,"000"))</f>
        <v/>
      </c>
      <c r="B169" s="65" t="n"/>
      <c r="C169" s="51" t="n"/>
      <c r="D169" s="51" t="n"/>
      <c r="E169" s="51" t="n"/>
      <c r="F169" s="51" t="n"/>
      <c r="G169" s="60" t="n"/>
      <c r="H169" s="61" t="n"/>
      <c r="I169" s="60" t="n"/>
      <c r="J169" s="62" t="n"/>
      <c r="K169" s="52" t="n"/>
      <c r="L169" s="63">
        <f>IF(OR(B169="",H169="",E169="Done"),"",ROUNDDOWN(H169-NOW(),0))</f>
        <v/>
      </c>
      <c r="M169" s="58">
        <f>IF(B169="","",IF(E169="Done","Complete",IF(E169="Blocked","Blocked",IF(H169="","No due date",IF(H169&lt;NOW(),"Overdue",IF(H169-NOW()&lt;=3,"Due soon","On track"))))))</f>
        <v/>
      </c>
      <c r="N169" s="51" t="n"/>
      <c r="O169" s="65" t="n"/>
      <c r="P169" s="64">
        <f>IF(OR(B169="",E169="Done",H169=""),"",H169+ROW()/10000000)</f>
        <v/>
      </c>
    </row>
    <row r="170">
      <c r="A170" s="58">
        <f>IF(B170="","","T-"&amp;TEXT(ROW()-5,"000"))</f>
        <v/>
      </c>
      <c r="B170" s="65" t="n"/>
      <c r="C170" s="51" t="n"/>
      <c r="D170" s="51" t="n"/>
      <c r="E170" s="51" t="n"/>
      <c r="F170" s="51" t="n"/>
      <c r="G170" s="60" t="n"/>
      <c r="H170" s="61" t="n"/>
      <c r="I170" s="60" t="n"/>
      <c r="J170" s="62" t="n"/>
      <c r="K170" s="52" t="n"/>
      <c r="L170" s="63">
        <f>IF(OR(B170="",H170="",E170="Done"),"",ROUNDDOWN(H170-NOW(),0))</f>
        <v/>
      </c>
      <c r="M170" s="58">
        <f>IF(B170="","",IF(E170="Done","Complete",IF(E170="Blocked","Blocked",IF(H170="","No due date",IF(H170&lt;NOW(),"Overdue",IF(H170-NOW()&lt;=3,"Due soon","On track"))))))</f>
        <v/>
      </c>
      <c r="N170" s="51" t="n"/>
      <c r="O170" s="65" t="n"/>
      <c r="P170" s="64">
        <f>IF(OR(B170="",E170="Done",H170=""),"",H170+ROW()/10000000)</f>
        <v/>
      </c>
    </row>
    <row r="171">
      <c r="A171" s="58">
        <f>IF(B171="","","T-"&amp;TEXT(ROW()-5,"000"))</f>
        <v/>
      </c>
      <c r="B171" s="65" t="n"/>
      <c r="C171" s="51" t="n"/>
      <c r="D171" s="51" t="n"/>
      <c r="E171" s="51" t="n"/>
      <c r="F171" s="51" t="n"/>
      <c r="G171" s="60" t="n"/>
      <c r="H171" s="61" t="n"/>
      <c r="I171" s="60" t="n"/>
      <c r="J171" s="62" t="n"/>
      <c r="K171" s="52" t="n"/>
      <c r="L171" s="63">
        <f>IF(OR(B171="",H171="",E171="Done"),"",ROUNDDOWN(H171-NOW(),0))</f>
        <v/>
      </c>
      <c r="M171" s="58">
        <f>IF(B171="","",IF(E171="Done","Complete",IF(E171="Blocked","Blocked",IF(H171="","No due date",IF(H171&lt;NOW(),"Overdue",IF(H171-NOW()&lt;=3,"Due soon","On track"))))))</f>
        <v/>
      </c>
      <c r="N171" s="51" t="n"/>
      <c r="O171" s="65" t="n"/>
      <c r="P171" s="64">
        <f>IF(OR(B171="",E171="Done",H171=""),"",H171+ROW()/10000000)</f>
        <v/>
      </c>
    </row>
    <row r="172">
      <c r="A172" s="58">
        <f>IF(B172="","","T-"&amp;TEXT(ROW()-5,"000"))</f>
        <v/>
      </c>
      <c r="B172" s="65" t="n"/>
      <c r="C172" s="51" t="n"/>
      <c r="D172" s="51" t="n"/>
      <c r="E172" s="51" t="n"/>
      <c r="F172" s="51" t="n"/>
      <c r="G172" s="60" t="n"/>
      <c r="H172" s="61" t="n"/>
      <c r="I172" s="60" t="n"/>
      <c r="J172" s="62" t="n"/>
      <c r="K172" s="52" t="n"/>
      <c r="L172" s="63">
        <f>IF(OR(B172="",H172="",E172="Done"),"",ROUNDDOWN(H172-NOW(),0))</f>
        <v/>
      </c>
      <c r="M172" s="58">
        <f>IF(B172="","",IF(E172="Done","Complete",IF(E172="Blocked","Blocked",IF(H172="","No due date",IF(H172&lt;NOW(),"Overdue",IF(H172-NOW()&lt;=3,"Due soon","On track"))))))</f>
        <v/>
      </c>
      <c r="N172" s="51" t="n"/>
      <c r="O172" s="65" t="n"/>
      <c r="P172" s="64">
        <f>IF(OR(B172="",E172="Done",H172=""),"",H172+ROW()/10000000)</f>
        <v/>
      </c>
    </row>
    <row r="173">
      <c r="A173" s="58">
        <f>IF(B173="","","T-"&amp;TEXT(ROW()-5,"000"))</f>
        <v/>
      </c>
      <c r="B173" s="65" t="n"/>
      <c r="C173" s="51" t="n"/>
      <c r="D173" s="51" t="n"/>
      <c r="E173" s="51" t="n"/>
      <c r="F173" s="51" t="n"/>
      <c r="G173" s="60" t="n"/>
      <c r="H173" s="61" t="n"/>
      <c r="I173" s="60" t="n"/>
      <c r="J173" s="62" t="n"/>
      <c r="K173" s="52" t="n"/>
      <c r="L173" s="63">
        <f>IF(OR(B173="",H173="",E173="Done"),"",ROUNDDOWN(H173-NOW(),0))</f>
        <v/>
      </c>
      <c r="M173" s="58">
        <f>IF(B173="","",IF(E173="Done","Complete",IF(E173="Blocked","Blocked",IF(H173="","No due date",IF(H173&lt;NOW(),"Overdue",IF(H173-NOW()&lt;=3,"Due soon","On track"))))))</f>
        <v/>
      </c>
      <c r="N173" s="51" t="n"/>
      <c r="O173" s="65" t="n"/>
      <c r="P173" s="64">
        <f>IF(OR(B173="",E173="Done",H173=""),"",H173+ROW()/10000000)</f>
        <v/>
      </c>
    </row>
    <row r="174">
      <c r="A174" s="58">
        <f>IF(B174="","","T-"&amp;TEXT(ROW()-5,"000"))</f>
        <v/>
      </c>
      <c r="B174" s="65" t="n"/>
      <c r="C174" s="51" t="n"/>
      <c r="D174" s="51" t="n"/>
      <c r="E174" s="51" t="n"/>
      <c r="F174" s="51" t="n"/>
      <c r="G174" s="60" t="n"/>
      <c r="H174" s="61" t="n"/>
      <c r="I174" s="60" t="n"/>
      <c r="J174" s="62" t="n"/>
      <c r="K174" s="52" t="n"/>
      <c r="L174" s="63">
        <f>IF(OR(B174="",H174="",E174="Done"),"",ROUNDDOWN(H174-NOW(),0))</f>
        <v/>
      </c>
      <c r="M174" s="58">
        <f>IF(B174="","",IF(E174="Done","Complete",IF(E174="Blocked","Blocked",IF(H174="","No due date",IF(H174&lt;NOW(),"Overdue",IF(H174-NOW()&lt;=3,"Due soon","On track"))))))</f>
        <v/>
      </c>
      <c r="N174" s="51" t="n"/>
      <c r="O174" s="65" t="n"/>
      <c r="P174" s="64">
        <f>IF(OR(B174="",E174="Done",H174=""),"",H174+ROW()/10000000)</f>
        <v/>
      </c>
    </row>
    <row r="175">
      <c r="A175" s="58">
        <f>IF(B175="","","T-"&amp;TEXT(ROW()-5,"000"))</f>
        <v/>
      </c>
      <c r="B175" s="65" t="n"/>
      <c r="C175" s="51" t="n"/>
      <c r="D175" s="51" t="n"/>
      <c r="E175" s="51" t="n"/>
      <c r="F175" s="51" t="n"/>
      <c r="G175" s="60" t="n"/>
      <c r="H175" s="61" t="n"/>
      <c r="I175" s="60" t="n"/>
      <c r="J175" s="62" t="n"/>
      <c r="K175" s="52" t="n"/>
      <c r="L175" s="63">
        <f>IF(OR(B175="",H175="",E175="Done"),"",ROUNDDOWN(H175-NOW(),0))</f>
        <v/>
      </c>
      <c r="M175" s="58">
        <f>IF(B175="","",IF(E175="Done","Complete",IF(E175="Blocked","Blocked",IF(H175="","No due date",IF(H175&lt;NOW(),"Overdue",IF(H175-NOW()&lt;=3,"Due soon","On track"))))))</f>
        <v/>
      </c>
      <c r="N175" s="51" t="n"/>
      <c r="O175" s="65" t="n"/>
      <c r="P175" s="64">
        <f>IF(OR(B175="",E175="Done",H175=""),"",H175+ROW()/10000000)</f>
        <v/>
      </c>
    </row>
    <row r="176">
      <c r="A176" s="58">
        <f>IF(B176="","","T-"&amp;TEXT(ROW()-5,"000"))</f>
        <v/>
      </c>
      <c r="B176" s="65" t="n"/>
      <c r="C176" s="51" t="n"/>
      <c r="D176" s="51" t="n"/>
      <c r="E176" s="51" t="n"/>
      <c r="F176" s="51" t="n"/>
      <c r="G176" s="60" t="n"/>
      <c r="H176" s="61" t="n"/>
      <c r="I176" s="60" t="n"/>
      <c r="J176" s="62" t="n"/>
      <c r="K176" s="52" t="n"/>
      <c r="L176" s="63">
        <f>IF(OR(B176="",H176="",E176="Done"),"",ROUNDDOWN(H176-NOW(),0))</f>
        <v/>
      </c>
      <c r="M176" s="58">
        <f>IF(B176="","",IF(E176="Done","Complete",IF(E176="Blocked","Blocked",IF(H176="","No due date",IF(H176&lt;NOW(),"Overdue",IF(H176-NOW()&lt;=3,"Due soon","On track"))))))</f>
        <v/>
      </c>
      <c r="N176" s="51" t="n"/>
      <c r="O176" s="65" t="n"/>
      <c r="P176" s="64">
        <f>IF(OR(B176="",E176="Done",H176=""),"",H176+ROW()/10000000)</f>
        <v/>
      </c>
    </row>
    <row r="177">
      <c r="A177" s="58">
        <f>IF(B177="","","T-"&amp;TEXT(ROW()-5,"000"))</f>
        <v/>
      </c>
      <c r="B177" s="65" t="n"/>
      <c r="C177" s="51" t="n"/>
      <c r="D177" s="51" t="n"/>
      <c r="E177" s="51" t="n"/>
      <c r="F177" s="51" t="n"/>
      <c r="G177" s="60" t="n"/>
      <c r="H177" s="61" t="n"/>
      <c r="I177" s="60" t="n"/>
      <c r="J177" s="62" t="n"/>
      <c r="K177" s="52" t="n"/>
      <c r="L177" s="63">
        <f>IF(OR(B177="",H177="",E177="Done"),"",ROUNDDOWN(H177-NOW(),0))</f>
        <v/>
      </c>
      <c r="M177" s="58">
        <f>IF(B177="","",IF(E177="Done","Complete",IF(E177="Blocked","Blocked",IF(H177="","No due date",IF(H177&lt;NOW(),"Overdue",IF(H177-NOW()&lt;=3,"Due soon","On track"))))))</f>
        <v/>
      </c>
      <c r="N177" s="51" t="n"/>
      <c r="O177" s="65" t="n"/>
      <c r="P177" s="64">
        <f>IF(OR(B177="",E177="Done",H177=""),"",H177+ROW()/10000000)</f>
        <v/>
      </c>
    </row>
    <row r="178">
      <c r="A178" s="58">
        <f>IF(B178="","","T-"&amp;TEXT(ROW()-5,"000"))</f>
        <v/>
      </c>
      <c r="B178" s="65" t="n"/>
      <c r="C178" s="51" t="n"/>
      <c r="D178" s="51" t="n"/>
      <c r="E178" s="51" t="n"/>
      <c r="F178" s="51" t="n"/>
      <c r="G178" s="60" t="n"/>
      <c r="H178" s="61" t="n"/>
      <c r="I178" s="60" t="n"/>
      <c r="J178" s="62" t="n"/>
      <c r="K178" s="52" t="n"/>
      <c r="L178" s="63">
        <f>IF(OR(B178="",H178="",E178="Done"),"",ROUNDDOWN(H178-NOW(),0))</f>
        <v/>
      </c>
      <c r="M178" s="58">
        <f>IF(B178="","",IF(E178="Done","Complete",IF(E178="Blocked","Blocked",IF(H178="","No due date",IF(H178&lt;NOW(),"Overdue",IF(H178-NOW()&lt;=3,"Due soon","On track"))))))</f>
        <v/>
      </c>
      <c r="N178" s="51" t="n"/>
      <c r="O178" s="65" t="n"/>
      <c r="P178" s="64">
        <f>IF(OR(B178="",E178="Done",H178=""),"",H178+ROW()/10000000)</f>
        <v/>
      </c>
    </row>
    <row r="179">
      <c r="A179" s="58">
        <f>IF(B179="","","T-"&amp;TEXT(ROW()-5,"000"))</f>
        <v/>
      </c>
      <c r="B179" s="65" t="n"/>
      <c r="C179" s="51" t="n"/>
      <c r="D179" s="51" t="n"/>
      <c r="E179" s="51" t="n"/>
      <c r="F179" s="51" t="n"/>
      <c r="G179" s="60" t="n"/>
      <c r="H179" s="61" t="n"/>
      <c r="I179" s="60" t="n"/>
      <c r="J179" s="62" t="n"/>
      <c r="K179" s="52" t="n"/>
      <c r="L179" s="63">
        <f>IF(OR(B179="",H179="",E179="Done"),"",ROUNDDOWN(H179-NOW(),0))</f>
        <v/>
      </c>
      <c r="M179" s="58">
        <f>IF(B179="","",IF(E179="Done","Complete",IF(E179="Blocked","Blocked",IF(H179="","No due date",IF(H179&lt;NOW(),"Overdue",IF(H179-NOW()&lt;=3,"Due soon","On track"))))))</f>
        <v/>
      </c>
      <c r="N179" s="51" t="n"/>
      <c r="O179" s="65" t="n"/>
      <c r="P179" s="64">
        <f>IF(OR(B179="",E179="Done",H179=""),"",H179+ROW()/10000000)</f>
        <v/>
      </c>
    </row>
    <row r="180">
      <c r="A180" s="58">
        <f>IF(B180="","","T-"&amp;TEXT(ROW()-5,"000"))</f>
        <v/>
      </c>
      <c r="B180" s="65" t="n"/>
      <c r="C180" s="51" t="n"/>
      <c r="D180" s="51" t="n"/>
      <c r="E180" s="51" t="n"/>
      <c r="F180" s="51" t="n"/>
      <c r="G180" s="60" t="n"/>
      <c r="H180" s="61" t="n"/>
      <c r="I180" s="60" t="n"/>
      <c r="J180" s="62" t="n"/>
      <c r="K180" s="52" t="n"/>
      <c r="L180" s="63">
        <f>IF(OR(B180="",H180="",E180="Done"),"",ROUNDDOWN(H180-NOW(),0))</f>
        <v/>
      </c>
      <c r="M180" s="58">
        <f>IF(B180="","",IF(E180="Done","Complete",IF(E180="Blocked","Blocked",IF(H180="","No due date",IF(H180&lt;NOW(),"Overdue",IF(H180-NOW()&lt;=3,"Due soon","On track"))))))</f>
        <v/>
      </c>
      <c r="N180" s="51" t="n"/>
      <c r="O180" s="65" t="n"/>
      <c r="P180" s="64">
        <f>IF(OR(B180="",E180="Done",H180=""),"",H180+ROW()/10000000)</f>
        <v/>
      </c>
    </row>
    <row r="181">
      <c r="A181" s="58">
        <f>IF(B181="","","T-"&amp;TEXT(ROW()-5,"000"))</f>
        <v/>
      </c>
      <c r="B181" s="65" t="n"/>
      <c r="C181" s="51" t="n"/>
      <c r="D181" s="51" t="n"/>
      <c r="E181" s="51" t="n"/>
      <c r="F181" s="51" t="n"/>
      <c r="G181" s="60" t="n"/>
      <c r="H181" s="61" t="n"/>
      <c r="I181" s="60" t="n"/>
      <c r="J181" s="62" t="n"/>
      <c r="K181" s="52" t="n"/>
      <c r="L181" s="63">
        <f>IF(OR(B181="",H181="",E181="Done"),"",ROUNDDOWN(H181-NOW(),0))</f>
        <v/>
      </c>
      <c r="M181" s="58">
        <f>IF(B181="","",IF(E181="Done","Complete",IF(E181="Blocked","Blocked",IF(H181="","No due date",IF(H181&lt;NOW(),"Overdue",IF(H181-NOW()&lt;=3,"Due soon","On track"))))))</f>
        <v/>
      </c>
      <c r="N181" s="51" t="n"/>
      <c r="O181" s="65" t="n"/>
      <c r="P181" s="64">
        <f>IF(OR(B181="",E181="Done",H181=""),"",H181+ROW()/10000000)</f>
        <v/>
      </c>
    </row>
    <row r="182">
      <c r="A182" s="58">
        <f>IF(B182="","","T-"&amp;TEXT(ROW()-5,"000"))</f>
        <v/>
      </c>
      <c r="B182" s="65" t="n"/>
      <c r="C182" s="51" t="n"/>
      <c r="D182" s="51" t="n"/>
      <c r="E182" s="51" t="n"/>
      <c r="F182" s="51" t="n"/>
      <c r="G182" s="60" t="n"/>
      <c r="H182" s="61" t="n"/>
      <c r="I182" s="60" t="n"/>
      <c r="J182" s="62" t="n"/>
      <c r="K182" s="52" t="n"/>
      <c r="L182" s="63">
        <f>IF(OR(B182="",H182="",E182="Done"),"",ROUNDDOWN(H182-NOW(),0))</f>
        <v/>
      </c>
      <c r="M182" s="58">
        <f>IF(B182="","",IF(E182="Done","Complete",IF(E182="Blocked","Blocked",IF(H182="","No due date",IF(H182&lt;NOW(),"Overdue",IF(H182-NOW()&lt;=3,"Due soon","On track"))))))</f>
        <v/>
      </c>
      <c r="N182" s="51" t="n"/>
      <c r="O182" s="65" t="n"/>
      <c r="P182" s="64">
        <f>IF(OR(B182="",E182="Done",H182=""),"",H182+ROW()/10000000)</f>
        <v/>
      </c>
    </row>
    <row r="183">
      <c r="A183" s="58">
        <f>IF(B183="","","T-"&amp;TEXT(ROW()-5,"000"))</f>
        <v/>
      </c>
      <c r="B183" s="65" t="n"/>
      <c r="C183" s="51" t="n"/>
      <c r="D183" s="51" t="n"/>
      <c r="E183" s="51" t="n"/>
      <c r="F183" s="51" t="n"/>
      <c r="G183" s="60" t="n"/>
      <c r="H183" s="61" t="n"/>
      <c r="I183" s="60" t="n"/>
      <c r="J183" s="62" t="n"/>
      <c r="K183" s="52" t="n"/>
      <c r="L183" s="63">
        <f>IF(OR(B183="",H183="",E183="Done"),"",ROUNDDOWN(H183-NOW(),0))</f>
        <v/>
      </c>
      <c r="M183" s="58">
        <f>IF(B183="","",IF(E183="Done","Complete",IF(E183="Blocked","Blocked",IF(H183="","No due date",IF(H183&lt;NOW(),"Overdue",IF(H183-NOW()&lt;=3,"Due soon","On track"))))))</f>
        <v/>
      </c>
      <c r="N183" s="51" t="n"/>
      <c r="O183" s="65" t="n"/>
      <c r="P183" s="64">
        <f>IF(OR(B183="",E183="Done",H183=""),"",H183+ROW()/10000000)</f>
        <v/>
      </c>
    </row>
    <row r="184">
      <c r="A184" s="58">
        <f>IF(B184="","","T-"&amp;TEXT(ROW()-5,"000"))</f>
        <v/>
      </c>
      <c r="B184" s="65" t="n"/>
      <c r="C184" s="51" t="n"/>
      <c r="D184" s="51" t="n"/>
      <c r="E184" s="51" t="n"/>
      <c r="F184" s="51" t="n"/>
      <c r="G184" s="60" t="n"/>
      <c r="H184" s="61" t="n"/>
      <c r="I184" s="60" t="n"/>
      <c r="J184" s="62" t="n"/>
      <c r="K184" s="52" t="n"/>
      <c r="L184" s="63">
        <f>IF(OR(B184="",H184="",E184="Done"),"",ROUNDDOWN(H184-NOW(),0))</f>
        <v/>
      </c>
      <c r="M184" s="58">
        <f>IF(B184="","",IF(E184="Done","Complete",IF(E184="Blocked","Blocked",IF(H184="","No due date",IF(H184&lt;NOW(),"Overdue",IF(H184-NOW()&lt;=3,"Due soon","On track"))))))</f>
        <v/>
      </c>
      <c r="N184" s="51" t="n"/>
      <c r="O184" s="65" t="n"/>
      <c r="P184" s="64">
        <f>IF(OR(B184="",E184="Done",H184=""),"",H184+ROW()/10000000)</f>
        <v/>
      </c>
    </row>
    <row r="185">
      <c r="A185" s="58">
        <f>IF(B185="","","T-"&amp;TEXT(ROW()-5,"000"))</f>
        <v/>
      </c>
      <c r="B185" s="65" t="n"/>
      <c r="C185" s="51" t="n"/>
      <c r="D185" s="51" t="n"/>
      <c r="E185" s="51" t="n"/>
      <c r="F185" s="51" t="n"/>
      <c r="G185" s="60" t="n"/>
      <c r="H185" s="61" t="n"/>
      <c r="I185" s="60" t="n"/>
      <c r="J185" s="62" t="n"/>
      <c r="K185" s="52" t="n"/>
      <c r="L185" s="63">
        <f>IF(OR(B185="",H185="",E185="Done"),"",ROUNDDOWN(H185-NOW(),0))</f>
        <v/>
      </c>
      <c r="M185" s="58">
        <f>IF(B185="","",IF(E185="Done","Complete",IF(E185="Blocked","Blocked",IF(H185="","No due date",IF(H185&lt;NOW(),"Overdue",IF(H185-NOW()&lt;=3,"Due soon","On track"))))))</f>
        <v/>
      </c>
      <c r="N185" s="51" t="n"/>
      <c r="O185" s="65" t="n"/>
      <c r="P185" s="64">
        <f>IF(OR(B185="",E185="Done",H185=""),"",H185+ROW()/10000000)</f>
        <v/>
      </c>
    </row>
    <row r="186">
      <c r="A186" s="58">
        <f>IF(B186="","","T-"&amp;TEXT(ROW()-5,"000"))</f>
        <v/>
      </c>
      <c r="B186" s="65" t="n"/>
      <c r="C186" s="51" t="n"/>
      <c r="D186" s="51" t="n"/>
      <c r="E186" s="51" t="n"/>
      <c r="F186" s="51" t="n"/>
      <c r="G186" s="60" t="n"/>
      <c r="H186" s="61" t="n"/>
      <c r="I186" s="60" t="n"/>
      <c r="J186" s="62" t="n"/>
      <c r="K186" s="52" t="n"/>
      <c r="L186" s="63">
        <f>IF(OR(B186="",H186="",E186="Done"),"",ROUNDDOWN(H186-NOW(),0))</f>
        <v/>
      </c>
      <c r="M186" s="58">
        <f>IF(B186="","",IF(E186="Done","Complete",IF(E186="Blocked","Blocked",IF(H186="","No due date",IF(H186&lt;NOW(),"Overdue",IF(H186-NOW()&lt;=3,"Due soon","On track"))))))</f>
        <v/>
      </c>
      <c r="N186" s="51" t="n"/>
      <c r="O186" s="65" t="n"/>
      <c r="P186" s="64">
        <f>IF(OR(B186="",E186="Done",H186=""),"",H186+ROW()/10000000)</f>
        <v/>
      </c>
    </row>
    <row r="187">
      <c r="A187" s="58">
        <f>IF(B187="","","T-"&amp;TEXT(ROW()-5,"000"))</f>
        <v/>
      </c>
      <c r="B187" s="65" t="n"/>
      <c r="C187" s="51" t="n"/>
      <c r="D187" s="51" t="n"/>
      <c r="E187" s="51" t="n"/>
      <c r="F187" s="51" t="n"/>
      <c r="G187" s="60" t="n"/>
      <c r="H187" s="61" t="n"/>
      <c r="I187" s="60" t="n"/>
      <c r="J187" s="62" t="n"/>
      <c r="K187" s="52" t="n"/>
      <c r="L187" s="63">
        <f>IF(OR(B187="",H187="",E187="Done"),"",ROUNDDOWN(H187-NOW(),0))</f>
        <v/>
      </c>
      <c r="M187" s="58">
        <f>IF(B187="","",IF(E187="Done","Complete",IF(E187="Blocked","Blocked",IF(H187="","No due date",IF(H187&lt;NOW(),"Overdue",IF(H187-NOW()&lt;=3,"Due soon","On track"))))))</f>
        <v/>
      </c>
      <c r="N187" s="51" t="n"/>
      <c r="O187" s="65" t="n"/>
      <c r="P187" s="64">
        <f>IF(OR(B187="",E187="Done",H187=""),"",H187+ROW()/10000000)</f>
        <v/>
      </c>
    </row>
    <row r="188">
      <c r="A188" s="58">
        <f>IF(B188="","","T-"&amp;TEXT(ROW()-5,"000"))</f>
        <v/>
      </c>
      <c r="B188" s="65" t="n"/>
      <c r="C188" s="51" t="n"/>
      <c r="D188" s="51" t="n"/>
      <c r="E188" s="51" t="n"/>
      <c r="F188" s="51" t="n"/>
      <c r="G188" s="60" t="n"/>
      <c r="H188" s="61" t="n"/>
      <c r="I188" s="60" t="n"/>
      <c r="J188" s="62" t="n"/>
      <c r="K188" s="52" t="n"/>
      <c r="L188" s="63">
        <f>IF(OR(B188="",H188="",E188="Done"),"",ROUNDDOWN(H188-NOW(),0))</f>
        <v/>
      </c>
      <c r="M188" s="58">
        <f>IF(B188="","",IF(E188="Done","Complete",IF(E188="Blocked","Blocked",IF(H188="","No due date",IF(H188&lt;NOW(),"Overdue",IF(H188-NOW()&lt;=3,"Due soon","On track"))))))</f>
        <v/>
      </c>
      <c r="N188" s="51" t="n"/>
      <c r="O188" s="65" t="n"/>
      <c r="P188" s="64">
        <f>IF(OR(B188="",E188="Done",H188=""),"",H188+ROW()/10000000)</f>
        <v/>
      </c>
    </row>
    <row r="189">
      <c r="A189" s="58">
        <f>IF(B189="","","T-"&amp;TEXT(ROW()-5,"000"))</f>
        <v/>
      </c>
      <c r="B189" s="65" t="n"/>
      <c r="C189" s="51" t="n"/>
      <c r="D189" s="51" t="n"/>
      <c r="E189" s="51" t="n"/>
      <c r="F189" s="51" t="n"/>
      <c r="G189" s="60" t="n"/>
      <c r="H189" s="61" t="n"/>
      <c r="I189" s="60" t="n"/>
      <c r="J189" s="62" t="n"/>
      <c r="K189" s="52" t="n"/>
      <c r="L189" s="63">
        <f>IF(OR(B189="",H189="",E189="Done"),"",ROUNDDOWN(H189-NOW(),0))</f>
        <v/>
      </c>
      <c r="M189" s="58">
        <f>IF(B189="","",IF(E189="Done","Complete",IF(E189="Blocked","Blocked",IF(H189="","No due date",IF(H189&lt;NOW(),"Overdue",IF(H189-NOW()&lt;=3,"Due soon","On track"))))))</f>
        <v/>
      </c>
      <c r="N189" s="51" t="n"/>
      <c r="O189" s="65" t="n"/>
      <c r="P189" s="64">
        <f>IF(OR(B189="",E189="Done",H189=""),"",H189+ROW()/10000000)</f>
        <v/>
      </c>
    </row>
    <row r="190">
      <c r="A190" s="58">
        <f>IF(B190="","","T-"&amp;TEXT(ROW()-5,"000"))</f>
        <v/>
      </c>
      <c r="B190" s="65" t="n"/>
      <c r="C190" s="51" t="n"/>
      <c r="D190" s="51" t="n"/>
      <c r="E190" s="51" t="n"/>
      <c r="F190" s="51" t="n"/>
      <c r="G190" s="60" t="n"/>
      <c r="H190" s="61" t="n"/>
      <c r="I190" s="60" t="n"/>
      <c r="J190" s="62" t="n"/>
      <c r="K190" s="52" t="n"/>
      <c r="L190" s="63">
        <f>IF(OR(B190="",H190="",E190="Done"),"",ROUNDDOWN(H190-NOW(),0))</f>
        <v/>
      </c>
      <c r="M190" s="58">
        <f>IF(B190="","",IF(E190="Done","Complete",IF(E190="Blocked","Blocked",IF(H190="","No due date",IF(H190&lt;NOW(),"Overdue",IF(H190-NOW()&lt;=3,"Due soon","On track"))))))</f>
        <v/>
      </c>
      <c r="N190" s="51" t="n"/>
      <c r="O190" s="65" t="n"/>
      <c r="P190" s="64">
        <f>IF(OR(B190="",E190="Done",H190=""),"",H190+ROW()/10000000)</f>
        <v/>
      </c>
    </row>
    <row r="191">
      <c r="A191" s="58">
        <f>IF(B191="","","T-"&amp;TEXT(ROW()-5,"000"))</f>
        <v/>
      </c>
      <c r="B191" s="65" t="n"/>
      <c r="C191" s="51" t="n"/>
      <c r="D191" s="51" t="n"/>
      <c r="E191" s="51" t="n"/>
      <c r="F191" s="51" t="n"/>
      <c r="G191" s="60" t="n"/>
      <c r="H191" s="61" t="n"/>
      <c r="I191" s="60" t="n"/>
      <c r="J191" s="62" t="n"/>
      <c r="K191" s="52" t="n"/>
      <c r="L191" s="63">
        <f>IF(OR(B191="",H191="",E191="Done"),"",ROUNDDOWN(H191-NOW(),0))</f>
        <v/>
      </c>
      <c r="M191" s="58">
        <f>IF(B191="","",IF(E191="Done","Complete",IF(E191="Blocked","Blocked",IF(H191="","No due date",IF(H191&lt;NOW(),"Overdue",IF(H191-NOW()&lt;=3,"Due soon","On track"))))))</f>
        <v/>
      </c>
      <c r="N191" s="51" t="n"/>
      <c r="O191" s="65" t="n"/>
      <c r="P191" s="64">
        <f>IF(OR(B191="",E191="Done",H191=""),"",H191+ROW()/10000000)</f>
        <v/>
      </c>
    </row>
    <row r="192">
      <c r="A192" s="58">
        <f>IF(B192="","","T-"&amp;TEXT(ROW()-5,"000"))</f>
        <v/>
      </c>
      <c r="B192" s="65" t="n"/>
      <c r="C192" s="51" t="n"/>
      <c r="D192" s="51" t="n"/>
      <c r="E192" s="51" t="n"/>
      <c r="F192" s="51" t="n"/>
      <c r="G192" s="60" t="n"/>
      <c r="H192" s="61" t="n"/>
      <c r="I192" s="60" t="n"/>
      <c r="J192" s="62" t="n"/>
      <c r="K192" s="52" t="n"/>
      <c r="L192" s="63">
        <f>IF(OR(B192="",H192="",E192="Done"),"",ROUNDDOWN(H192-NOW(),0))</f>
        <v/>
      </c>
      <c r="M192" s="58">
        <f>IF(B192="","",IF(E192="Done","Complete",IF(E192="Blocked","Blocked",IF(H192="","No due date",IF(H192&lt;NOW(),"Overdue",IF(H192-NOW()&lt;=3,"Due soon","On track"))))))</f>
        <v/>
      </c>
      <c r="N192" s="51" t="n"/>
      <c r="O192" s="65" t="n"/>
      <c r="P192" s="64">
        <f>IF(OR(B192="",E192="Done",H192=""),"",H192+ROW()/10000000)</f>
        <v/>
      </c>
    </row>
    <row r="193">
      <c r="A193" s="58">
        <f>IF(B193="","","T-"&amp;TEXT(ROW()-5,"000"))</f>
        <v/>
      </c>
      <c r="B193" s="65" t="n"/>
      <c r="C193" s="51" t="n"/>
      <c r="D193" s="51" t="n"/>
      <c r="E193" s="51" t="n"/>
      <c r="F193" s="51" t="n"/>
      <c r="G193" s="60" t="n"/>
      <c r="H193" s="61" t="n"/>
      <c r="I193" s="60" t="n"/>
      <c r="J193" s="62" t="n"/>
      <c r="K193" s="52" t="n"/>
      <c r="L193" s="63">
        <f>IF(OR(B193="",H193="",E193="Done"),"",ROUNDDOWN(H193-NOW(),0))</f>
        <v/>
      </c>
      <c r="M193" s="58">
        <f>IF(B193="","",IF(E193="Done","Complete",IF(E193="Blocked","Blocked",IF(H193="","No due date",IF(H193&lt;NOW(),"Overdue",IF(H193-NOW()&lt;=3,"Due soon","On track"))))))</f>
        <v/>
      </c>
      <c r="N193" s="51" t="n"/>
      <c r="O193" s="65" t="n"/>
      <c r="P193" s="64">
        <f>IF(OR(B193="",E193="Done",H193=""),"",H193+ROW()/10000000)</f>
        <v/>
      </c>
    </row>
    <row r="194">
      <c r="A194" s="58">
        <f>IF(B194="","","T-"&amp;TEXT(ROW()-5,"000"))</f>
        <v/>
      </c>
      <c r="B194" s="65" t="n"/>
      <c r="C194" s="51" t="n"/>
      <c r="D194" s="51" t="n"/>
      <c r="E194" s="51" t="n"/>
      <c r="F194" s="51" t="n"/>
      <c r="G194" s="60" t="n"/>
      <c r="H194" s="61" t="n"/>
      <c r="I194" s="60" t="n"/>
      <c r="J194" s="62" t="n"/>
      <c r="K194" s="52" t="n"/>
      <c r="L194" s="63">
        <f>IF(OR(B194="",H194="",E194="Done"),"",ROUNDDOWN(H194-NOW(),0))</f>
        <v/>
      </c>
      <c r="M194" s="58">
        <f>IF(B194="","",IF(E194="Done","Complete",IF(E194="Blocked","Blocked",IF(H194="","No due date",IF(H194&lt;NOW(),"Overdue",IF(H194-NOW()&lt;=3,"Due soon","On track"))))))</f>
        <v/>
      </c>
      <c r="N194" s="51" t="n"/>
      <c r="O194" s="65" t="n"/>
      <c r="P194" s="64">
        <f>IF(OR(B194="",E194="Done",H194=""),"",H194+ROW()/10000000)</f>
        <v/>
      </c>
    </row>
    <row r="195">
      <c r="A195" s="58">
        <f>IF(B195="","","T-"&amp;TEXT(ROW()-5,"000"))</f>
        <v/>
      </c>
      <c r="B195" s="65" t="n"/>
      <c r="C195" s="51" t="n"/>
      <c r="D195" s="51" t="n"/>
      <c r="E195" s="51" t="n"/>
      <c r="F195" s="51" t="n"/>
      <c r="G195" s="60" t="n"/>
      <c r="H195" s="61" t="n"/>
      <c r="I195" s="60" t="n"/>
      <c r="J195" s="62" t="n"/>
      <c r="K195" s="52" t="n"/>
      <c r="L195" s="63">
        <f>IF(OR(B195="",H195="",E195="Done"),"",ROUNDDOWN(H195-NOW(),0))</f>
        <v/>
      </c>
      <c r="M195" s="58">
        <f>IF(B195="","",IF(E195="Done","Complete",IF(E195="Blocked","Blocked",IF(H195="","No due date",IF(H195&lt;NOW(),"Overdue",IF(H195-NOW()&lt;=3,"Due soon","On track"))))))</f>
        <v/>
      </c>
      <c r="N195" s="51" t="n"/>
      <c r="O195" s="65" t="n"/>
      <c r="P195" s="64">
        <f>IF(OR(B195="",E195="Done",H195=""),"",H195+ROW()/10000000)</f>
        <v/>
      </c>
    </row>
    <row r="196">
      <c r="A196" s="58">
        <f>IF(B196="","","T-"&amp;TEXT(ROW()-5,"000"))</f>
        <v/>
      </c>
      <c r="B196" s="65" t="n"/>
      <c r="C196" s="51" t="n"/>
      <c r="D196" s="51" t="n"/>
      <c r="E196" s="51" t="n"/>
      <c r="F196" s="51" t="n"/>
      <c r="G196" s="60" t="n"/>
      <c r="H196" s="61" t="n"/>
      <c r="I196" s="60" t="n"/>
      <c r="J196" s="62" t="n"/>
      <c r="K196" s="52" t="n"/>
      <c r="L196" s="63">
        <f>IF(OR(B196="",H196="",E196="Done"),"",ROUNDDOWN(H196-NOW(),0))</f>
        <v/>
      </c>
      <c r="M196" s="58">
        <f>IF(B196="","",IF(E196="Done","Complete",IF(E196="Blocked","Blocked",IF(H196="","No due date",IF(H196&lt;NOW(),"Overdue",IF(H196-NOW()&lt;=3,"Due soon","On track"))))))</f>
        <v/>
      </c>
      <c r="N196" s="51" t="n"/>
      <c r="O196" s="65" t="n"/>
      <c r="P196" s="64">
        <f>IF(OR(B196="",E196="Done",H196=""),"",H196+ROW()/10000000)</f>
        <v/>
      </c>
    </row>
    <row r="197">
      <c r="A197" s="58">
        <f>IF(B197="","","T-"&amp;TEXT(ROW()-5,"000"))</f>
        <v/>
      </c>
      <c r="B197" s="65" t="n"/>
      <c r="C197" s="51" t="n"/>
      <c r="D197" s="51" t="n"/>
      <c r="E197" s="51" t="n"/>
      <c r="F197" s="51" t="n"/>
      <c r="G197" s="60" t="n"/>
      <c r="H197" s="61" t="n"/>
      <c r="I197" s="60" t="n"/>
      <c r="J197" s="62" t="n"/>
      <c r="K197" s="52" t="n"/>
      <c r="L197" s="63">
        <f>IF(OR(B197="",H197="",E197="Done"),"",ROUNDDOWN(H197-NOW(),0))</f>
        <v/>
      </c>
      <c r="M197" s="58">
        <f>IF(B197="","",IF(E197="Done","Complete",IF(E197="Blocked","Blocked",IF(H197="","No due date",IF(H197&lt;NOW(),"Overdue",IF(H197-NOW()&lt;=3,"Due soon","On track"))))))</f>
        <v/>
      </c>
      <c r="N197" s="51" t="n"/>
      <c r="O197" s="65" t="n"/>
      <c r="P197" s="64">
        <f>IF(OR(B197="",E197="Done",H197=""),"",H197+ROW()/10000000)</f>
        <v/>
      </c>
    </row>
    <row r="198">
      <c r="A198" s="58">
        <f>IF(B198="","","T-"&amp;TEXT(ROW()-5,"000"))</f>
        <v/>
      </c>
      <c r="B198" s="65" t="n"/>
      <c r="C198" s="51" t="n"/>
      <c r="D198" s="51" t="n"/>
      <c r="E198" s="51" t="n"/>
      <c r="F198" s="51" t="n"/>
      <c r="G198" s="60" t="n"/>
      <c r="H198" s="61" t="n"/>
      <c r="I198" s="60" t="n"/>
      <c r="J198" s="62" t="n"/>
      <c r="K198" s="52" t="n"/>
      <c r="L198" s="63">
        <f>IF(OR(B198="",H198="",E198="Done"),"",ROUNDDOWN(H198-NOW(),0))</f>
        <v/>
      </c>
      <c r="M198" s="58">
        <f>IF(B198="","",IF(E198="Done","Complete",IF(E198="Blocked","Blocked",IF(H198="","No due date",IF(H198&lt;NOW(),"Overdue",IF(H198-NOW()&lt;=3,"Due soon","On track"))))))</f>
        <v/>
      </c>
      <c r="N198" s="51" t="n"/>
      <c r="O198" s="65" t="n"/>
      <c r="P198" s="64">
        <f>IF(OR(B198="",E198="Done",H198=""),"",H198+ROW()/10000000)</f>
        <v/>
      </c>
    </row>
    <row r="199">
      <c r="A199" s="58">
        <f>IF(B199="","","T-"&amp;TEXT(ROW()-5,"000"))</f>
        <v/>
      </c>
      <c r="B199" s="65" t="n"/>
      <c r="C199" s="51" t="n"/>
      <c r="D199" s="51" t="n"/>
      <c r="E199" s="51" t="n"/>
      <c r="F199" s="51" t="n"/>
      <c r="G199" s="60" t="n"/>
      <c r="H199" s="61" t="n"/>
      <c r="I199" s="60" t="n"/>
      <c r="J199" s="62" t="n"/>
      <c r="K199" s="52" t="n"/>
      <c r="L199" s="63">
        <f>IF(OR(B199="",H199="",E199="Done"),"",ROUNDDOWN(H199-NOW(),0))</f>
        <v/>
      </c>
      <c r="M199" s="58">
        <f>IF(B199="","",IF(E199="Done","Complete",IF(E199="Blocked","Blocked",IF(H199="","No due date",IF(H199&lt;NOW(),"Overdue",IF(H199-NOW()&lt;=3,"Due soon","On track"))))))</f>
        <v/>
      </c>
      <c r="N199" s="51" t="n"/>
      <c r="O199" s="65" t="n"/>
      <c r="P199" s="64">
        <f>IF(OR(B199="",E199="Done",H199=""),"",H199+ROW()/10000000)</f>
        <v/>
      </c>
    </row>
    <row r="200">
      <c r="A200" s="58">
        <f>IF(B200="","","T-"&amp;TEXT(ROW()-5,"000"))</f>
        <v/>
      </c>
      <c r="B200" s="65" t="n"/>
      <c r="C200" s="51" t="n"/>
      <c r="D200" s="51" t="n"/>
      <c r="E200" s="51" t="n"/>
      <c r="F200" s="51" t="n"/>
      <c r="G200" s="60" t="n"/>
      <c r="H200" s="61" t="n"/>
      <c r="I200" s="60" t="n"/>
      <c r="J200" s="62" t="n"/>
      <c r="K200" s="52" t="n"/>
      <c r="L200" s="63">
        <f>IF(OR(B200="",H200="",E200="Done"),"",ROUNDDOWN(H200-NOW(),0))</f>
        <v/>
      </c>
      <c r="M200" s="58">
        <f>IF(B200="","",IF(E200="Done","Complete",IF(E200="Blocked","Blocked",IF(H200="","No due date",IF(H200&lt;NOW(),"Overdue",IF(H200-NOW()&lt;=3,"Due soon","On track"))))))</f>
        <v/>
      </c>
      <c r="N200" s="51" t="n"/>
      <c r="O200" s="65" t="n"/>
      <c r="P200" s="64">
        <f>IF(OR(B200="",E200="Done",H200=""),"",H200+ROW()/10000000)</f>
        <v/>
      </c>
    </row>
    <row r="201">
      <c r="A201" s="58">
        <f>IF(B201="","","T-"&amp;TEXT(ROW()-5,"000"))</f>
        <v/>
      </c>
      <c r="B201" s="65" t="n"/>
      <c r="C201" s="51" t="n"/>
      <c r="D201" s="51" t="n"/>
      <c r="E201" s="51" t="n"/>
      <c r="F201" s="51" t="n"/>
      <c r="G201" s="60" t="n"/>
      <c r="H201" s="61" t="n"/>
      <c r="I201" s="60" t="n"/>
      <c r="J201" s="62" t="n"/>
      <c r="K201" s="52" t="n"/>
      <c r="L201" s="63">
        <f>IF(OR(B201="",H201="",E201="Done"),"",ROUNDDOWN(H201-NOW(),0))</f>
        <v/>
      </c>
      <c r="M201" s="58">
        <f>IF(B201="","",IF(E201="Done","Complete",IF(E201="Blocked","Blocked",IF(H201="","No due date",IF(H201&lt;NOW(),"Overdue",IF(H201-NOW()&lt;=3,"Due soon","On track"))))))</f>
        <v/>
      </c>
      <c r="N201" s="51" t="n"/>
      <c r="O201" s="65" t="n"/>
      <c r="P201" s="64">
        <f>IF(OR(B201="",E201="Done",H201=""),"",H201+ROW()/10000000)</f>
        <v/>
      </c>
    </row>
    <row r="202">
      <c r="A202" s="58">
        <f>IF(B202="","","T-"&amp;TEXT(ROW()-5,"000"))</f>
        <v/>
      </c>
      <c r="B202" s="65" t="n"/>
      <c r="C202" s="51" t="n"/>
      <c r="D202" s="51" t="n"/>
      <c r="E202" s="51" t="n"/>
      <c r="F202" s="51" t="n"/>
      <c r="G202" s="60" t="n"/>
      <c r="H202" s="61" t="n"/>
      <c r="I202" s="60" t="n"/>
      <c r="J202" s="62" t="n"/>
      <c r="K202" s="52" t="n"/>
      <c r="L202" s="63">
        <f>IF(OR(B202="",H202="",E202="Done"),"",ROUNDDOWN(H202-NOW(),0))</f>
        <v/>
      </c>
      <c r="M202" s="58">
        <f>IF(B202="","",IF(E202="Done","Complete",IF(E202="Blocked","Blocked",IF(H202="","No due date",IF(H202&lt;NOW(),"Overdue",IF(H202-NOW()&lt;=3,"Due soon","On track"))))))</f>
        <v/>
      </c>
      <c r="N202" s="51" t="n"/>
      <c r="O202" s="65" t="n"/>
      <c r="P202" s="64">
        <f>IF(OR(B202="",E202="Done",H202=""),"",H202+ROW()/10000000)</f>
        <v/>
      </c>
    </row>
    <row r="203">
      <c r="A203" s="58">
        <f>IF(B203="","","T-"&amp;TEXT(ROW()-5,"000"))</f>
        <v/>
      </c>
      <c r="B203" s="65" t="n"/>
      <c r="C203" s="51" t="n"/>
      <c r="D203" s="51" t="n"/>
      <c r="E203" s="51" t="n"/>
      <c r="F203" s="51" t="n"/>
      <c r="G203" s="60" t="n"/>
      <c r="H203" s="61" t="n"/>
      <c r="I203" s="60" t="n"/>
      <c r="J203" s="62" t="n"/>
      <c r="K203" s="52" t="n"/>
      <c r="L203" s="63">
        <f>IF(OR(B203="",H203="",E203="Done"),"",ROUNDDOWN(H203-NOW(),0))</f>
        <v/>
      </c>
      <c r="M203" s="58">
        <f>IF(B203="","",IF(E203="Done","Complete",IF(E203="Blocked","Blocked",IF(H203="","No due date",IF(H203&lt;NOW(),"Overdue",IF(H203-NOW()&lt;=3,"Due soon","On track"))))))</f>
        <v/>
      </c>
      <c r="N203" s="51" t="n"/>
      <c r="O203" s="65" t="n"/>
      <c r="P203" s="64">
        <f>IF(OR(B203="",E203="Done",H203=""),"",H203+ROW()/10000000)</f>
        <v/>
      </c>
    </row>
    <row r="204">
      <c r="A204" s="58">
        <f>IF(B204="","","T-"&amp;TEXT(ROW()-5,"000"))</f>
        <v/>
      </c>
      <c r="B204" s="65" t="n"/>
      <c r="C204" s="51" t="n"/>
      <c r="D204" s="51" t="n"/>
      <c r="E204" s="51" t="n"/>
      <c r="F204" s="51" t="n"/>
      <c r="G204" s="60" t="n"/>
      <c r="H204" s="61" t="n"/>
      <c r="I204" s="60" t="n"/>
      <c r="J204" s="62" t="n"/>
      <c r="K204" s="52" t="n"/>
      <c r="L204" s="63">
        <f>IF(OR(B204="",H204="",E204="Done"),"",ROUNDDOWN(H204-NOW(),0))</f>
        <v/>
      </c>
      <c r="M204" s="58">
        <f>IF(B204="","",IF(E204="Done","Complete",IF(E204="Blocked","Blocked",IF(H204="","No due date",IF(H204&lt;NOW(),"Overdue",IF(H204-NOW()&lt;=3,"Due soon","On track"))))))</f>
        <v/>
      </c>
      <c r="N204" s="51" t="n"/>
      <c r="O204" s="65" t="n"/>
      <c r="P204" s="64">
        <f>IF(OR(B204="",E204="Done",H204=""),"",H204+ROW()/10000000)</f>
        <v/>
      </c>
    </row>
    <row r="205">
      <c r="A205" s="58">
        <f>IF(B205="","","T-"&amp;TEXT(ROW()-5,"000"))</f>
        <v/>
      </c>
      <c r="B205" s="65" t="n"/>
      <c r="C205" s="51" t="n"/>
      <c r="D205" s="51" t="n"/>
      <c r="E205" s="51" t="n"/>
      <c r="F205" s="51" t="n"/>
      <c r="G205" s="60" t="n"/>
      <c r="H205" s="61" t="n"/>
      <c r="I205" s="60" t="n"/>
      <c r="J205" s="62" t="n"/>
      <c r="K205" s="52" t="n"/>
      <c r="L205" s="63">
        <f>IF(OR(B205="",H205="",E205="Done"),"",ROUNDDOWN(H205-NOW(),0))</f>
        <v/>
      </c>
      <c r="M205" s="58">
        <f>IF(B205="","",IF(E205="Done","Complete",IF(E205="Blocked","Blocked",IF(H205="","No due date",IF(H205&lt;NOW(),"Overdue",IF(H205-NOW()&lt;=3,"Due soon","On track"))))))</f>
        <v/>
      </c>
      <c r="N205" s="51" t="n"/>
      <c r="O205" s="65" t="n"/>
      <c r="P205" s="64">
        <f>IF(OR(B205="",E205="Done",H205=""),"",H205+ROW()/10000000)</f>
        <v/>
      </c>
    </row>
    <row r="206">
      <c r="A206" s="58">
        <f>IF(B206="","","T-"&amp;TEXT(ROW()-5,"000"))</f>
        <v/>
      </c>
      <c r="B206" s="65" t="n"/>
      <c r="C206" s="51" t="n"/>
      <c r="D206" s="51" t="n"/>
      <c r="E206" s="51" t="n"/>
      <c r="F206" s="51" t="n"/>
      <c r="G206" s="60" t="n"/>
      <c r="H206" s="61" t="n"/>
      <c r="I206" s="60" t="n"/>
      <c r="J206" s="62" t="n"/>
      <c r="K206" s="52" t="n"/>
      <c r="L206" s="63">
        <f>IF(OR(B206="",H206="",E206="Done"),"",ROUNDDOWN(H206-NOW(),0))</f>
        <v/>
      </c>
      <c r="M206" s="58">
        <f>IF(B206="","",IF(E206="Done","Complete",IF(E206="Blocked","Blocked",IF(H206="","No due date",IF(H206&lt;NOW(),"Overdue",IF(H206-NOW()&lt;=3,"Due soon","On track"))))))</f>
        <v/>
      </c>
      <c r="N206" s="51" t="n"/>
      <c r="O206" s="65" t="n"/>
      <c r="P206" s="64">
        <f>IF(OR(B206="",E206="Done",H206=""),"",H206+ROW()/10000000)</f>
        <v/>
      </c>
    </row>
    <row r="207">
      <c r="A207" s="58">
        <f>IF(B207="","","T-"&amp;TEXT(ROW()-5,"000"))</f>
        <v/>
      </c>
      <c r="B207" s="65" t="n"/>
      <c r="C207" s="51" t="n"/>
      <c r="D207" s="51" t="n"/>
      <c r="E207" s="51" t="n"/>
      <c r="F207" s="51" t="n"/>
      <c r="G207" s="60" t="n"/>
      <c r="H207" s="61" t="n"/>
      <c r="I207" s="60" t="n"/>
      <c r="J207" s="62" t="n"/>
      <c r="K207" s="52" t="n"/>
      <c r="L207" s="63">
        <f>IF(OR(B207="",H207="",E207="Done"),"",ROUNDDOWN(H207-NOW(),0))</f>
        <v/>
      </c>
      <c r="M207" s="58">
        <f>IF(B207="","",IF(E207="Done","Complete",IF(E207="Blocked","Blocked",IF(H207="","No due date",IF(H207&lt;NOW(),"Overdue",IF(H207-NOW()&lt;=3,"Due soon","On track"))))))</f>
        <v/>
      </c>
      <c r="N207" s="51" t="n"/>
      <c r="O207" s="65" t="n"/>
      <c r="P207" s="64">
        <f>IF(OR(B207="",E207="Done",H207=""),"",H207+ROW()/10000000)</f>
        <v/>
      </c>
    </row>
    <row r="208">
      <c r="A208" s="58">
        <f>IF(B208="","","T-"&amp;TEXT(ROW()-5,"000"))</f>
        <v/>
      </c>
      <c r="B208" s="65" t="n"/>
      <c r="C208" s="51" t="n"/>
      <c r="D208" s="51" t="n"/>
      <c r="E208" s="51" t="n"/>
      <c r="F208" s="51" t="n"/>
      <c r="G208" s="60" t="n"/>
      <c r="H208" s="61" t="n"/>
      <c r="I208" s="60" t="n"/>
      <c r="J208" s="62" t="n"/>
      <c r="K208" s="52" t="n"/>
      <c r="L208" s="63">
        <f>IF(OR(B208="",H208="",E208="Done"),"",ROUNDDOWN(H208-NOW(),0))</f>
        <v/>
      </c>
      <c r="M208" s="58">
        <f>IF(B208="","",IF(E208="Done","Complete",IF(E208="Blocked","Blocked",IF(H208="","No due date",IF(H208&lt;NOW(),"Overdue",IF(H208-NOW()&lt;=3,"Due soon","On track"))))))</f>
        <v/>
      </c>
      <c r="N208" s="51" t="n"/>
      <c r="O208" s="65" t="n"/>
      <c r="P208" s="64">
        <f>IF(OR(B208="",E208="Done",H208=""),"",H208+ROW()/10000000)</f>
        <v/>
      </c>
    </row>
    <row r="209">
      <c r="A209" s="58">
        <f>IF(B209="","","T-"&amp;TEXT(ROW()-5,"000"))</f>
        <v/>
      </c>
      <c r="B209" s="65" t="n"/>
      <c r="C209" s="51" t="n"/>
      <c r="D209" s="51" t="n"/>
      <c r="E209" s="51" t="n"/>
      <c r="F209" s="51" t="n"/>
      <c r="G209" s="60" t="n"/>
      <c r="H209" s="61" t="n"/>
      <c r="I209" s="60" t="n"/>
      <c r="J209" s="62" t="n"/>
      <c r="K209" s="52" t="n"/>
      <c r="L209" s="63">
        <f>IF(OR(B209="",H209="",E209="Done"),"",ROUNDDOWN(H209-NOW(),0))</f>
        <v/>
      </c>
      <c r="M209" s="58">
        <f>IF(B209="","",IF(E209="Done","Complete",IF(E209="Blocked","Blocked",IF(H209="","No due date",IF(H209&lt;NOW(),"Overdue",IF(H209-NOW()&lt;=3,"Due soon","On track"))))))</f>
        <v/>
      </c>
      <c r="N209" s="51" t="n"/>
      <c r="O209" s="65" t="n"/>
      <c r="P209" s="64">
        <f>IF(OR(B209="",E209="Done",H209=""),"",H209+ROW()/10000000)</f>
        <v/>
      </c>
    </row>
    <row r="210">
      <c r="A210" s="58">
        <f>IF(B210="","","T-"&amp;TEXT(ROW()-5,"000"))</f>
        <v/>
      </c>
      <c r="B210" s="65" t="n"/>
      <c r="C210" s="51" t="n"/>
      <c r="D210" s="51" t="n"/>
      <c r="E210" s="51" t="n"/>
      <c r="F210" s="51" t="n"/>
      <c r="G210" s="60" t="n"/>
      <c r="H210" s="61" t="n"/>
      <c r="I210" s="60" t="n"/>
      <c r="J210" s="62" t="n"/>
      <c r="K210" s="52" t="n"/>
      <c r="L210" s="63">
        <f>IF(OR(B210="",H210="",E210="Done"),"",ROUNDDOWN(H210-NOW(),0))</f>
        <v/>
      </c>
      <c r="M210" s="58">
        <f>IF(B210="","",IF(E210="Done","Complete",IF(E210="Blocked","Blocked",IF(H210="","No due date",IF(H210&lt;NOW(),"Overdue",IF(H210-NOW()&lt;=3,"Due soon","On track"))))))</f>
        <v/>
      </c>
      <c r="N210" s="51" t="n"/>
      <c r="O210" s="65" t="n"/>
      <c r="P210" s="64">
        <f>IF(OR(B210="",E210="Done",H210=""),"",H210+ROW()/10000000)</f>
        <v/>
      </c>
    </row>
    <row r="211">
      <c r="A211" s="58">
        <f>IF(B211="","","T-"&amp;TEXT(ROW()-5,"000"))</f>
        <v/>
      </c>
      <c r="B211" s="65" t="n"/>
      <c r="C211" s="51" t="n"/>
      <c r="D211" s="51" t="n"/>
      <c r="E211" s="51" t="n"/>
      <c r="F211" s="51" t="n"/>
      <c r="G211" s="60" t="n"/>
      <c r="H211" s="61" t="n"/>
      <c r="I211" s="60" t="n"/>
      <c r="J211" s="62" t="n"/>
      <c r="K211" s="52" t="n"/>
      <c r="L211" s="63">
        <f>IF(OR(B211="",H211="",E211="Done"),"",ROUNDDOWN(H211-NOW(),0))</f>
        <v/>
      </c>
      <c r="M211" s="58">
        <f>IF(B211="","",IF(E211="Done","Complete",IF(E211="Blocked","Blocked",IF(H211="","No due date",IF(H211&lt;NOW(),"Overdue",IF(H211-NOW()&lt;=3,"Due soon","On track"))))))</f>
        <v/>
      </c>
      <c r="N211" s="51" t="n"/>
      <c r="O211" s="65" t="n"/>
      <c r="P211" s="64">
        <f>IF(OR(B211="",E211="Done",H211=""),"",H211+ROW()/10000000)</f>
        <v/>
      </c>
    </row>
    <row r="212">
      <c r="A212" s="58">
        <f>IF(B212="","","T-"&amp;TEXT(ROW()-5,"000"))</f>
        <v/>
      </c>
      <c r="B212" s="65" t="n"/>
      <c r="C212" s="51" t="n"/>
      <c r="D212" s="51" t="n"/>
      <c r="E212" s="51" t="n"/>
      <c r="F212" s="51" t="n"/>
      <c r="G212" s="60" t="n"/>
      <c r="H212" s="61" t="n"/>
      <c r="I212" s="60" t="n"/>
      <c r="J212" s="62" t="n"/>
      <c r="K212" s="52" t="n"/>
      <c r="L212" s="63">
        <f>IF(OR(B212="",H212="",E212="Done"),"",ROUNDDOWN(H212-NOW(),0))</f>
        <v/>
      </c>
      <c r="M212" s="58">
        <f>IF(B212="","",IF(E212="Done","Complete",IF(E212="Blocked","Blocked",IF(H212="","No due date",IF(H212&lt;NOW(),"Overdue",IF(H212-NOW()&lt;=3,"Due soon","On track"))))))</f>
        <v/>
      </c>
      <c r="N212" s="51" t="n"/>
      <c r="O212" s="65" t="n"/>
      <c r="P212" s="64">
        <f>IF(OR(B212="",E212="Done",H212=""),"",H212+ROW()/10000000)</f>
        <v/>
      </c>
    </row>
    <row r="213">
      <c r="A213" s="58">
        <f>IF(B213="","","T-"&amp;TEXT(ROW()-5,"000"))</f>
        <v/>
      </c>
      <c r="B213" s="65" t="n"/>
      <c r="C213" s="51" t="n"/>
      <c r="D213" s="51" t="n"/>
      <c r="E213" s="51" t="n"/>
      <c r="F213" s="51" t="n"/>
      <c r="G213" s="60" t="n"/>
      <c r="H213" s="61" t="n"/>
      <c r="I213" s="60" t="n"/>
      <c r="J213" s="62" t="n"/>
      <c r="K213" s="52" t="n"/>
      <c r="L213" s="63">
        <f>IF(OR(B213="",H213="",E213="Done"),"",ROUNDDOWN(H213-NOW(),0))</f>
        <v/>
      </c>
      <c r="M213" s="58">
        <f>IF(B213="","",IF(E213="Done","Complete",IF(E213="Blocked","Blocked",IF(H213="","No due date",IF(H213&lt;NOW(),"Overdue",IF(H213-NOW()&lt;=3,"Due soon","On track"))))))</f>
        <v/>
      </c>
      <c r="N213" s="51" t="n"/>
      <c r="O213" s="65" t="n"/>
      <c r="P213" s="64">
        <f>IF(OR(B213="",E213="Done",H213=""),"",H213+ROW()/10000000)</f>
        <v/>
      </c>
    </row>
    <row r="214">
      <c r="A214" s="58">
        <f>IF(B214="","","T-"&amp;TEXT(ROW()-5,"000"))</f>
        <v/>
      </c>
      <c r="B214" s="65" t="n"/>
      <c r="C214" s="51" t="n"/>
      <c r="D214" s="51" t="n"/>
      <c r="E214" s="51" t="n"/>
      <c r="F214" s="51" t="n"/>
      <c r="G214" s="60" t="n"/>
      <c r="H214" s="61" t="n"/>
      <c r="I214" s="60" t="n"/>
      <c r="J214" s="62" t="n"/>
      <c r="K214" s="52" t="n"/>
      <c r="L214" s="63">
        <f>IF(OR(B214="",H214="",E214="Done"),"",ROUNDDOWN(H214-NOW(),0))</f>
        <v/>
      </c>
      <c r="M214" s="58">
        <f>IF(B214="","",IF(E214="Done","Complete",IF(E214="Blocked","Blocked",IF(H214="","No due date",IF(H214&lt;NOW(),"Overdue",IF(H214-NOW()&lt;=3,"Due soon","On track"))))))</f>
        <v/>
      </c>
      <c r="N214" s="51" t="n"/>
      <c r="O214" s="65" t="n"/>
      <c r="P214" s="64">
        <f>IF(OR(B214="",E214="Done",H214=""),"",H214+ROW()/10000000)</f>
        <v/>
      </c>
    </row>
    <row r="215">
      <c r="A215" s="58">
        <f>IF(B215="","","T-"&amp;TEXT(ROW()-5,"000"))</f>
        <v/>
      </c>
      <c r="B215" s="65" t="n"/>
      <c r="C215" s="51" t="n"/>
      <c r="D215" s="51" t="n"/>
      <c r="E215" s="51" t="n"/>
      <c r="F215" s="51" t="n"/>
      <c r="G215" s="60" t="n"/>
      <c r="H215" s="61" t="n"/>
      <c r="I215" s="60" t="n"/>
      <c r="J215" s="62" t="n"/>
      <c r="K215" s="52" t="n"/>
      <c r="L215" s="63">
        <f>IF(OR(B215="",H215="",E215="Done"),"",ROUNDDOWN(H215-NOW(),0))</f>
        <v/>
      </c>
      <c r="M215" s="58">
        <f>IF(B215="","",IF(E215="Done","Complete",IF(E215="Blocked","Blocked",IF(H215="","No due date",IF(H215&lt;NOW(),"Overdue",IF(H215-NOW()&lt;=3,"Due soon","On track"))))))</f>
        <v/>
      </c>
      <c r="N215" s="51" t="n"/>
      <c r="O215" s="65" t="n"/>
      <c r="P215" s="64">
        <f>IF(OR(B215="",E215="Done",H215=""),"",H215+ROW()/10000000)</f>
        <v/>
      </c>
    </row>
    <row r="216">
      <c r="A216" s="58">
        <f>IF(B216="","","T-"&amp;TEXT(ROW()-5,"000"))</f>
        <v/>
      </c>
      <c r="B216" s="65" t="n"/>
      <c r="C216" s="51" t="n"/>
      <c r="D216" s="51" t="n"/>
      <c r="E216" s="51" t="n"/>
      <c r="F216" s="51" t="n"/>
      <c r="G216" s="60" t="n"/>
      <c r="H216" s="61" t="n"/>
      <c r="I216" s="60" t="n"/>
      <c r="J216" s="62" t="n"/>
      <c r="K216" s="52" t="n"/>
      <c r="L216" s="63">
        <f>IF(OR(B216="",H216="",E216="Done"),"",ROUNDDOWN(H216-NOW(),0))</f>
        <v/>
      </c>
      <c r="M216" s="58">
        <f>IF(B216="","",IF(E216="Done","Complete",IF(E216="Blocked","Blocked",IF(H216="","No due date",IF(H216&lt;NOW(),"Overdue",IF(H216-NOW()&lt;=3,"Due soon","On track"))))))</f>
        <v/>
      </c>
      <c r="N216" s="51" t="n"/>
      <c r="O216" s="65" t="n"/>
      <c r="P216" s="64">
        <f>IF(OR(B216="",E216="Done",H216=""),"",H216+ROW()/10000000)</f>
        <v/>
      </c>
    </row>
    <row r="217">
      <c r="A217" s="58">
        <f>IF(B217="","","T-"&amp;TEXT(ROW()-5,"000"))</f>
        <v/>
      </c>
      <c r="B217" s="65" t="n"/>
      <c r="C217" s="51" t="n"/>
      <c r="D217" s="51" t="n"/>
      <c r="E217" s="51" t="n"/>
      <c r="F217" s="51" t="n"/>
      <c r="G217" s="60" t="n"/>
      <c r="H217" s="61" t="n"/>
      <c r="I217" s="60" t="n"/>
      <c r="J217" s="62" t="n"/>
      <c r="K217" s="52" t="n"/>
      <c r="L217" s="63">
        <f>IF(OR(B217="",H217="",E217="Done"),"",ROUNDDOWN(H217-NOW(),0))</f>
        <v/>
      </c>
      <c r="M217" s="58">
        <f>IF(B217="","",IF(E217="Done","Complete",IF(E217="Blocked","Blocked",IF(H217="","No due date",IF(H217&lt;NOW(),"Overdue",IF(H217-NOW()&lt;=3,"Due soon","On track"))))))</f>
        <v/>
      </c>
      <c r="N217" s="51" t="n"/>
      <c r="O217" s="65" t="n"/>
      <c r="P217" s="64">
        <f>IF(OR(B217="",E217="Done",H217=""),"",H217+ROW()/10000000)</f>
        <v/>
      </c>
    </row>
    <row r="218">
      <c r="A218" s="58">
        <f>IF(B218="","","T-"&amp;TEXT(ROW()-5,"000"))</f>
        <v/>
      </c>
      <c r="B218" s="65" t="n"/>
      <c r="C218" s="51" t="n"/>
      <c r="D218" s="51" t="n"/>
      <c r="E218" s="51" t="n"/>
      <c r="F218" s="51" t="n"/>
      <c r="G218" s="60" t="n"/>
      <c r="H218" s="61" t="n"/>
      <c r="I218" s="60" t="n"/>
      <c r="J218" s="62" t="n"/>
      <c r="K218" s="52" t="n"/>
      <c r="L218" s="63">
        <f>IF(OR(B218="",H218="",E218="Done"),"",ROUNDDOWN(H218-NOW(),0))</f>
        <v/>
      </c>
      <c r="M218" s="58">
        <f>IF(B218="","",IF(E218="Done","Complete",IF(E218="Blocked","Blocked",IF(H218="","No due date",IF(H218&lt;NOW(),"Overdue",IF(H218-NOW()&lt;=3,"Due soon","On track"))))))</f>
        <v/>
      </c>
      <c r="N218" s="51" t="n"/>
      <c r="O218" s="65" t="n"/>
      <c r="P218" s="64">
        <f>IF(OR(B218="",E218="Done",H218=""),"",H218+ROW()/10000000)</f>
        <v/>
      </c>
    </row>
    <row r="219">
      <c r="A219" s="58">
        <f>IF(B219="","","T-"&amp;TEXT(ROW()-5,"000"))</f>
        <v/>
      </c>
      <c r="B219" s="65" t="n"/>
      <c r="C219" s="51" t="n"/>
      <c r="D219" s="51" t="n"/>
      <c r="E219" s="51" t="n"/>
      <c r="F219" s="51" t="n"/>
      <c r="G219" s="60" t="n"/>
      <c r="H219" s="61" t="n"/>
      <c r="I219" s="60" t="n"/>
      <c r="J219" s="62" t="n"/>
      <c r="K219" s="52" t="n"/>
      <c r="L219" s="63">
        <f>IF(OR(B219="",H219="",E219="Done"),"",ROUNDDOWN(H219-NOW(),0))</f>
        <v/>
      </c>
      <c r="M219" s="58">
        <f>IF(B219="","",IF(E219="Done","Complete",IF(E219="Blocked","Blocked",IF(H219="","No due date",IF(H219&lt;NOW(),"Overdue",IF(H219-NOW()&lt;=3,"Due soon","On track"))))))</f>
        <v/>
      </c>
      <c r="N219" s="51" t="n"/>
      <c r="O219" s="65" t="n"/>
      <c r="P219" s="64">
        <f>IF(OR(B219="",E219="Done",H219=""),"",H219+ROW()/10000000)</f>
        <v/>
      </c>
    </row>
    <row r="220">
      <c r="A220" s="58">
        <f>IF(B220="","","T-"&amp;TEXT(ROW()-5,"000"))</f>
        <v/>
      </c>
      <c r="B220" s="65" t="n"/>
      <c r="C220" s="51" t="n"/>
      <c r="D220" s="51" t="n"/>
      <c r="E220" s="51" t="n"/>
      <c r="F220" s="51" t="n"/>
      <c r="G220" s="60" t="n"/>
      <c r="H220" s="61" t="n"/>
      <c r="I220" s="60" t="n"/>
      <c r="J220" s="62" t="n"/>
      <c r="K220" s="52" t="n"/>
      <c r="L220" s="63">
        <f>IF(OR(B220="",H220="",E220="Done"),"",ROUNDDOWN(H220-NOW(),0))</f>
        <v/>
      </c>
      <c r="M220" s="58">
        <f>IF(B220="","",IF(E220="Done","Complete",IF(E220="Blocked","Blocked",IF(H220="","No due date",IF(H220&lt;NOW(),"Overdue",IF(H220-NOW()&lt;=3,"Due soon","On track"))))))</f>
        <v/>
      </c>
      <c r="N220" s="51" t="n"/>
      <c r="O220" s="65" t="n"/>
      <c r="P220" s="64">
        <f>IF(OR(B220="",E220="Done",H220=""),"",H220+ROW()/10000000)</f>
        <v/>
      </c>
    </row>
    <row r="221">
      <c r="A221" s="58">
        <f>IF(B221="","","T-"&amp;TEXT(ROW()-5,"000"))</f>
        <v/>
      </c>
      <c r="B221" s="65" t="n"/>
      <c r="C221" s="51" t="n"/>
      <c r="D221" s="51" t="n"/>
      <c r="E221" s="51" t="n"/>
      <c r="F221" s="51" t="n"/>
      <c r="G221" s="60" t="n"/>
      <c r="H221" s="61" t="n"/>
      <c r="I221" s="60" t="n"/>
      <c r="J221" s="62" t="n"/>
      <c r="K221" s="52" t="n"/>
      <c r="L221" s="63">
        <f>IF(OR(B221="",H221="",E221="Done"),"",ROUNDDOWN(H221-NOW(),0))</f>
        <v/>
      </c>
      <c r="M221" s="58">
        <f>IF(B221="","",IF(E221="Done","Complete",IF(E221="Blocked","Blocked",IF(H221="","No due date",IF(H221&lt;NOW(),"Overdue",IF(H221-NOW()&lt;=3,"Due soon","On track"))))))</f>
        <v/>
      </c>
      <c r="N221" s="51" t="n"/>
      <c r="O221" s="65" t="n"/>
      <c r="P221" s="64">
        <f>IF(OR(B221="",E221="Done",H221=""),"",H221+ROW()/10000000)</f>
        <v/>
      </c>
    </row>
    <row r="222">
      <c r="A222" s="58">
        <f>IF(B222="","","T-"&amp;TEXT(ROW()-5,"000"))</f>
        <v/>
      </c>
      <c r="B222" s="65" t="n"/>
      <c r="C222" s="51" t="n"/>
      <c r="D222" s="51" t="n"/>
      <c r="E222" s="51" t="n"/>
      <c r="F222" s="51" t="n"/>
      <c r="G222" s="60" t="n"/>
      <c r="H222" s="61" t="n"/>
      <c r="I222" s="60" t="n"/>
      <c r="J222" s="62" t="n"/>
      <c r="K222" s="52" t="n"/>
      <c r="L222" s="63">
        <f>IF(OR(B222="",H222="",E222="Done"),"",ROUNDDOWN(H222-NOW(),0))</f>
        <v/>
      </c>
      <c r="M222" s="58">
        <f>IF(B222="","",IF(E222="Done","Complete",IF(E222="Blocked","Blocked",IF(H222="","No due date",IF(H222&lt;NOW(),"Overdue",IF(H222-NOW()&lt;=3,"Due soon","On track"))))))</f>
        <v/>
      </c>
      <c r="N222" s="51" t="n"/>
      <c r="O222" s="65" t="n"/>
      <c r="P222" s="64">
        <f>IF(OR(B222="",E222="Done",H222=""),"",H222+ROW()/10000000)</f>
        <v/>
      </c>
    </row>
    <row r="223">
      <c r="A223" s="58">
        <f>IF(B223="","","T-"&amp;TEXT(ROW()-5,"000"))</f>
        <v/>
      </c>
      <c r="B223" s="65" t="n"/>
      <c r="C223" s="51" t="n"/>
      <c r="D223" s="51" t="n"/>
      <c r="E223" s="51" t="n"/>
      <c r="F223" s="51" t="n"/>
      <c r="G223" s="60" t="n"/>
      <c r="H223" s="61" t="n"/>
      <c r="I223" s="60" t="n"/>
      <c r="J223" s="62" t="n"/>
      <c r="K223" s="52" t="n"/>
      <c r="L223" s="63">
        <f>IF(OR(B223="",H223="",E223="Done"),"",ROUNDDOWN(H223-NOW(),0))</f>
        <v/>
      </c>
      <c r="M223" s="58">
        <f>IF(B223="","",IF(E223="Done","Complete",IF(E223="Blocked","Blocked",IF(H223="","No due date",IF(H223&lt;NOW(),"Overdue",IF(H223-NOW()&lt;=3,"Due soon","On track"))))))</f>
        <v/>
      </c>
      <c r="N223" s="51" t="n"/>
      <c r="O223" s="65" t="n"/>
      <c r="P223" s="64">
        <f>IF(OR(B223="",E223="Done",H223=""),"",H223+ROW()/10000000)</f>
        <v/>
      </c>
    </row>
    <row r="224">
      <c r="A224" s="58">
        <f>IF(B224="","","T-"&amp;TEXT(ROW()-5,"000"))</f>
        <v/>
      </c>
      <c r="B224" s="65" t="n"/>
      <c r="C224" s="51" t="n"/>
      <c r="D224" s="51" t="n"/>
      <c r="E224" s="51" t="n"/>
      <c r="F224" s="51" t="n"/>
      <c r="G224" s="60" t="n"/>
      <c r="H224" s="61" t="n"/>
      <c r="I224" s="60" t="n"/>
      <c r="J224" s="62" t="n"/>
      <c r="K224" s="52" t="n"/>
      <c r="L224" s="63">
        <f>IF(OR(B224="",H224="",E224="Done"),"",ROUNDDOWN(H224-NOW(),0))</f>
        <v/>
      </c>
      <c r="M224" s="58">
        <f>IF(B224="","",IF(E224="Done","Complete",IF(E224="Blocked","Blocked",IF(H224="","No due date",IF(H224&lt;NOW(),"Overdue",IF(H224-NOW()&lt;=3,"Due soon","On track"))))))</f>
        <v/>
      </c>
      <c r="N224" s="51" t="n"/>
      <c r="O224" s="65" t="n"/>
      <c r="P224" s="64">
        <f>IF(OR(B224="",E224="Done",H224=""),"",H224+ROW()/10000000)</f>
        <v/>
      </c>
    </row>
    <row r="225">
      <c r="A225" s="58">
        <f>IF(B225="","","T-"&amp;TEXT(ROW()-5,"000"))</f>
        <v/>
      </c>
      <c r="B225" s="65" t="n"/>
      <c r="C225" s="51" t="n"/>
      <c r="D225" s="51" t="n"/>
      <c r="E225" s="51" t="n"/>
      <c r="F225" s="51" t="n"/>
      <c r="G225" s="60" t="n"/>
      <c r="H225" s="61" t="n"/>
      <c r="I225" s="60" t="n"/>
      <c r="J225" s="62" t="n"/>
      <c r="K225" s="52" t="n"/>
      <c r="L225" s="63">
        <f>IF(OR(B225="",H225="",E225="Done"),"",ROUNDDOWN(H225-NOW(),0))</f>
        <v/>
      </c>
      <c r="M225" s="58">
        <f>IF(B225="","",IF(E225="Done","Complete",IF(E225="Blocked","Blocked",IF(H225="","No due date",IF(H225&lt;NOW(),"Overdue",IF(H225-NOW()&lt;=3,"Due soon","On track"))))))</f>
        <v/>
      </c>
      <c r="N225" s="51" t="n"/>
      <c r="O225" s="65" t="n"/>
      <c r="P225" s="64">
        <f>IF(OR(B225="",E225="Done",H225=""),"",H225+ROW()/10000000)</f>
        <v/>
      </c>
    </row>
    <row r="226">
      <c r="A226" s="58">
        <f>IF(B226="","","T-"&amp;TEXT(ROW()-5,"000"))</f>
        <v/>
      </c>
      <c r="B226" s="65" t="n"/>
      <c r="C226" s="51" t="n"/>
      <c r="D226" s="51" t="n"/>
      <c r="E226" s="51" t="n"/>
      <c r="F226" s="51" t="n"/>
      <c r="G226" s="60" t="n"/>
      <c r="H226" s="61" t="n"/>
      <c r="I226" s="60" t="n"/>
      <c r="J226" s="62" t="n"/>
      <c r="K226" s="52" t="n"/>
      <c r="L226" s="63">
        <f>IF(OR(B226="",H226="",E226="Done"),"",ROUNDDOWN(H226-NOW(),0))</f>
        <v/>
      </c>
      <c r="M226" s="58">
        <f>IF(B226="","",IF(E226="Done","Complete",IF(E226="Blocked","Blocked",IF(H226="","No due date",IF(H226&lt;NOW(),"Overdue",IF(H226-NOW()&lt;=3,"Due soon","On track"))))))</f>
        <v/>
      </c>
      <c r="N226" s="51" t="n"/>
      <c r="O226" s="65" t="n"/>
      <c r="P226" s="64">
        <f>IF(OR(B226="",E226="Done",H226=""),"",H226+ROW()/10000000)</f>
        <v/>
      </c>
    </row>
    <row r="227">
      <c r="A227" s="58">
        <f>IF(B227="","","T-"&amp;TEXT(ROW()-5,"000"))</f>
        <v/>
      </c>
      <c r="B227" s="65" t="n"/>
      <c r="C227" s="51" t="n"/>
      <c r="D227" s="51" t="n"/>
      <c r="E227" s="51" t="n"/>
      <c r="F227" s="51" t="n"/>
      <c r="G227" s="60" t="n"/>
      <c r="H227" s="61" t="n"/>
      <c r="I227" s="60" t="n"/>
      <c r="J227" s="62" t="n"/>
      <c r="K227" s="52" t="n"/>
      <c r="L227" s="63">
        <f>IF(OR(B227="",H227="",E227="Done"),"",ROUNDDOWN(H227-NOW(),0))</f>
        <v/>
      </c>
      <c r="M227" s="58">
        <f>IF(B227="","",IF(E227="Done","Complete",IF(E227="Blocked","Blocked",IF(H227="","No due date",IF(H227&lt;NOW(),"Overdue",IF(H227-NOW()&lt;=3,"Due soon","On track"))))))</f>
        <v/>
      </c>
      <c r="N227" s="51" t="n"/>
      <c r="O227" s="65" t="n"/>
      <c r="P227" s="64">
        <f>IF(OR(B227="",E227="Done",H227=""),"",H227+ROW()/10000000)</f>
        <v/>
      </c>
    </row>
    <row r="228">
      <c r="A228" s="58">
        <f>IF(B228="","","T-"&amp;TEXT(ROW()-5,"000"))</f>
        <v/>
      </c>
      <c r="B228" s="65" t="n"/>
      <c r="C228" s="51" t="n"/>
      <c r="D228" s="51" t="n"/>
      <c r="E228" s="51" t="n"/>
      <c r="F228" s="51" t="n"/>
      <c r="G228" s="60" t="n"/>
      <c r="H228" s="61" t="n"/>
      <c r="I228" s="60" t="n"/>
      <c r="J228" s="62" t="n"/>
      <c r="K228" s="52" t="n"/>
      <c r="L228" s="63">
        <f>IF(OR(B228="",H228="",E228="Done"),"",ROUNDDOWN(H228-NOW(),0))</f>
        <v/>
      </c>
      <c r="M228" s="58">
        <f>IF(B228="","",IF(E228="Done","Complete",IF(E228="Blocked","Blocked",IF(H228="","No due date",IF(H228&lt;NOW(),"Overdue",IF(H228-NOW()&lt;=3,"Due soon","On track"))))))</f>
        <v/>
      </c>
      <c r="N228" s="51" t="n"/>
      <c r="O228" s="65" t="n"/>
      <c r="P228" s="64">
        <f>IF(OR(B228="",E228="Done",H228=""),"",H228+ROW()/10000000)</f>
        <v/>
      </c>
    </row>
    <row r="229">
      <c r="A229" s="58">
        <f>IF(B229="","","T-"&amp;TEXT(ROW()-5,"000"))</f>
        <v/>
      </c>
      <c r="B229" s="65" t="n"/>
      <c r="C229" s="51" t="n"/>
      <c r="D229" s="51" t="n"/>
      <c r="E229" s="51" t="n"/>
      <c r="F229" s="51" t="n"/>
      <c r="G229" s="60" t="n"/>
      <c r="H229" s="61" t="n"/>
      <c r="I229" s="60" t="n"/>
      <c r="J229" s="62" t="n"/>
      <c r="K229" s="52" t="n"/>
      <c r="L229" s="63">
        <f>IF(OR(B229="",H229="",E229="Done"),"",ROUNDDOWN(H229-NOW(),0))</f>
        <v/>
      </c>
      <c r="M229" s="58">
        <f>IF(B229="","",IF(E229="Done","Complete",IF(E229="Blocked","Blocked",IF(H229="","No due date",IF(H229&lt;NOW(),"Overdue",IF(H229-NOW()&lt;=3,"Due soon","On track"))))))</f>
        <v/>
      </c>
      <c r="N229" s="51" t="n"/>
      <c r="O229" s="65" t="n"/>
      <c r="P229" s="64">
        <f>IF(OR(B229="",E229="Done",H229=""),"",H229+ROW()/10000000)</f>
        <v/>
      </c>
    </row>
    <row r="230">
      <c r="A230" s="58">
        <f>IF(B230="","","T-"&amp;TEXT(ROW()-5,"000"))</f>
        <v/>
      </c>
      <c r="B230" s="65" t="n"/>
      <c r="C230" s="51" t="n"/>
      <c r="D230" s="51" t="n"/>
      <c r="E230" s="51" t="n"/>
      <c r="F230" s="51" t="n"/>
      <c r="G230" s="60" t="n"/>
      <c r="H230" s="61" t="n"/>
      <c r="I230" s="60" t="n"/>
      <c r="J230" s="62" t="n"/>
      <c r="K230" s="52" t="n"/>
      <c r="L230" s="63">
        <f>IF(OR(B230="",H230="",E230="Done"),"",ROUNDDOWN(H230-NOW(),0))</f>
        <v/>
      </c>
      <c r="M230" s="58">
        <f>IF(B230="","",IF(E230="Done","Complete",IF(E230="Blocked","Blocked",IF(H230="","No due date",IF(H230&lt;NOW(),"Overdue",IF(H230-NOW()&lt;=3,"Due soon","On track"))))))</f>
        <v/>
      </c>
      <c r="N230" s="51" t="n"/>
      <c r="O230" s="65" t="n"/>
      <c r="P230" s="64">
        <f>IF(OR(B230="",E230="Done",H230=""),"",H230+ROW()/10000000)</f>
        <v/>
      </c>
    </row>
    <row r="231">
      <c r="A231" s="58">
        <f>IF(B231="","","T-"&amp;TEXT(ROW()-5,"000"))</f>
        <v/>
      </c>
      <c r="B231" s="65" t="n"/>
      <c r="C231" s="51" t="n"/>
      <c r="D231" s="51" t="n"/>
      <c r="E231" s="51" t="n"/>
      <c r="F231" s="51" t="n"/>
      <c r="G231" s="60" t="n"/>
      <c r="H231" s="61" t="n"/>
      <c r="I231" s="60" t="n"/>
      <c r="J231" s="62" t="n"/>
      <c r="K231" s="52" t="n"/>
      <c r="L231" s="63">
        <f>IF(OR(B231="",H231="",E231="Done"),"",ROUNDDOWN(H231-NOW(),0))</f>
        <v/>
      </c>
      <c r="M231" s="58">
        <f>IF(B231="","",IF(E231="Done","Complete",IF(E231="Blocked","Blocked",IF(H231="","No due date",IF(H231&lt;NOW(),"Overdue",IF(H231-NOW()&lt;=3,"Due soon","On track"))))))</f>
        <v/>
      </c>
      <c r="N231" s="51" t="n"/>
      <c r="O231" s="65" t="n"/>
      <c r="P231" s="64">
        <f>IF(OR(B231="",E231="Done",H231=""),"",H231+ROW()/10000000)</f>
        <v/>
      </c>
    </row>
    <row r="232">
      <c r="A232" s="58">
        <f>IF(B232="","","T-"&amp;TEXT(ROW()-5,"000"))</f>
        <v/>
      </c>
      <c r="B232" s="65" t="n"/>
      <c r="C232" s="51" t="n"/>
      <c r="D232" s="51" t="n"/>
      <c r="E232" s="51" t="n"/>
      <c r="F232" s="51" t="n"/>
      <c r="G232" s="60" t="n"/>
      <c r="H232" s="61" t="n"/>
      <c r="I232" s="60" t="n"/>
      <c r="J232" s="62" t="n"/>
      <c r="K232" s="52" t="n"/>
      <c r="L232" s="63">
        <f>IF(OR(B232="",H232="",E232="Done"),"",ROUNDDOWN(H232-NOW(),0))</f>
        <v/>
      </c>
      <c r="M232" s="58">
        <f>IF(B232="","",IF(E232="Done","Complete",IF(E232="Blocked","Blocked",IF(H232="","No due date",IF(H232&lt;NOW(),"Overdue",IF(H232-NOW()&lt;=3,"Due soon","On track"))))))</f>
        <v/>
      </c>
      <c r="N232" s="51" t="n"/>
      <c r="O232" s="65" t="n"/>
      <c r="P232" s="64">
        <f>IF(OR(B232="",E232="Done",H232=""),"",H232+ROW()/10000000)</f>
        <v/>
      </c>
    </row>
    <row r="233">
      <c r="A233" s="58">
        <f>IF(B233="","","T-"&amp;TEXT(ROW()-5,"000"))</f>
        <v/>
      </c>
      <c r="B233" s="65" t="n"/>
      <c r="C233" s="51" t="n"/>
      <c r="D233" s="51" t="n"/>
      <c r="E233" s="51" t="n"/>
      <c r="F233" s="51" t="n"/>
      <c r="G233" s="60" t="n"/>
      <c r="H233" s="61" t="n"/>
      <c r="I233" s="60" t="n"/>
      <c r="J233" s="62" t="n"/>
      <c r="K233" s="52" t="n"/>
      <c r="L233" s="63">
        <f>IF(OR(B233="",H233="",E233="Done"),"",ROUNDDOWN(H233-NOW(),0))</f>
        <v/>
      </c>
      <c r="M233" s="58">
        <f>IF(B233="","",IF(E233="Done","Complete",IF(E233="Blocked","Blocked",IF(H233="","No due date",IF(H233&lt;NOW(),"Overdue",IF(H233-NOW()&lt;=3,"Due soon","On track"))))))</f>
        <v/>
      </c>
      <c r="N233" s="51" t="n"/>
      <c r="O233" s="65" t="n"/>
      <c r="P233" s="64">
        <f>IF(OR(B233="",E233="Done",H233=""),"",H233+ROW()/10000000)</f>
        <v/>
      </c>
    </row>
    <row r="234">
      <c r="A234" s="58">
        <f>IF(B234="","","T-"&amp;TEXT(ROW()-5,"000"))</f>
        <v/>
      </c>
      <c r="B234" s="65" t="n"/>
      <c r="C234" s="51" t="n"/>
      <c r="D234" s="51" t="n"/>
      <c r="E234" s="51" t="n"/>
      <c r="F234" s="51" t="n"/>
      <c r="G234" s="60" t="n"/>
      <c r="H234" s="61" t="n"/>
      <c r="I234" s="60" t="n"/>
      <c r="J234" s="62" t="n"/>
      <c r="K234" s="52" t="n"/>
      <c r="L234" s="63">
        <f>IF(OR(B234="",H234="",E234="Done"),"",ROUNDDOWN(H234-NOW(),0))</f>
        <v/>
      </c>
      <c r="M234" s="58">
        <f>IF(B234="","",IF(E234="Done","Complete",IF(E234="Blocked","Blocked",IF(H234="","No due date",IF(H234&lt;NOW(),"Overdue",IF(H234-NOW()&lt;=3,"Due soon","On track"))))))</f>
        <v/>
      </c>
      <c r="N234" s="51" t="n"/>
      <c r="O234" s="65" t="n"/>
      <c r="P234" s="64">
        <f>IF(OR(B234="",E234="Done",H234=""),"",H234+ROW()/10000000)</f>
        <v/>
      </c>
    </row>
    <row r="235">
      <c r="A235" s="58">
        <f>IF(B235="","","T-"&amp;TEXT(ROW()-5,"000"))</f>
        <v/>
      </c>
      <c r="B235" s="65" t="n"/>
      <c r="C235" s="51" t="n"/>
      <c r="D235" s="51" t="n"/>
      <c r="E235" s="51" t="n"/>
      <c r="F235" s="51" t="n"/>
      <c r="G235" s="60" t="n"/>
      <c r="H235" s="61" t="n"/>
      <c r="I235" s="60" t="n"/>
      <c r="J235" s="62" t="n"/>
      <c r="K235" s="52" t="n"/>
      <c r="L235" s="63">
        <f>IF(OR(B235="",H235="",E235="Done"),"",ROUNDDOWN(H235-NOW(),0))</f>
        <v/>
      </c>
      <c r="M235" s="58">
        <f>IF(B235="","",IF(E235="Done","Complete",IF(E235="Blocked","Blocked",IF(H235="","No due date",IF(H235&lt;NOW(),"Overdue",IF(H235-NOW()&lt;=3,"Due soon","On track"))))))</f>
        <v/>
      </c>
      <c r="N235" s="51" t="n"/>
      <c r="O235" s="65" t="n"/>
      <c r="P235" s="64">
        <f>IF(OR(B235="",E235="Done",H235=""),"",H235+ROW()/10000000)</f>
        <v/>
      </c>
    </row>
    <row r="236">
      <c r="A236" s="58">
        <f>IF(B236="","","T-"&amp;TEXT(ROW()-5,"000"))</f>
        <v/>
      </c>
      <c r="B236" s="65" t="n"/>
      <c r="C236" s="51" t="n"/>
      <c r="D236" s="51" t="n"/>
      <c r="E236" s="51" t="n"/>
      <c r="F236" s="51" t="n"/>
      <c r="G236" s="60" t="n"/>
      <c r="H236" s="61" t="n"/>
      <c r="I236" s="60" t="n"/>
      <c r="J236" s="62" t="n"/>
      <c r="K236" s="52" t="n"/>
      <c r="L236" s="63">
        <f>IF(OR(B236="",H236="",E236="Done"),"",ROUNDDOWN(H236-NOW(),0))</f>
        <v/>
      </c>
      <c r="M236" s="58">
        <f>IF(B236="","",IF(E236="Done","Complete",IF(E236="Blocked","Blocked",IF(H236="","No due date",IF(H236&lt;NOW(),"Overdue",IF(H236-NOW()&lt;=3,"Due soon","On track"))))))</f>
        <v/>
      </c>
      <c r="N236" s="51" t="n"/>
      <c r="O236" s="65" t="n"/>
      <c r="P236" s="64">
        <f>IF(OR(B236="",E236="Done",H236=""),"",H236+ROW()/10000000)</f>
        <v/>
      </c>
    </row>
    <row r="237">
      <c r="A237" s="58">
        <f>IF(B237="","","T-"&amp;TEXT(ROW()-5,"000"))</f>
        <v/>
      </c>
      <c r="B237" s="65" t="n"/>
      <c r="C237" s="51" t="n"/>
      <c r="D237" s="51" t="n"/>
      <c r="E237" s="51" t="n"/>
      <c r="F237" s="51" t="n"/>
      <c r="G237" s="60" t="n"/>
      <c r="H237" s="61" t="n"/>
      <c r="I237" s="60" t="n"/>
      <c r="J237" s="62" t="n"/>
      <c r="K237" s="52" t="n"/>
      <c r="L237" s="63">
        <f>IF(OR(B237="",H237="",E237="Done"),"",ROUNDDOWN(H237-NOW(),0))</f>
        <v/>
      </c>
      <c r="M237" s="58">
        <f>IF(B237="","",IF(E237="Done","Complete",IF(E237="Blocked","Blocked",IF(H237="","No due date",IF(H237&lt;NOW(),"Overdue",IF(H237-NOW()&lt;=3,"Due soon","On track"))))))</f>
        <v/>
      </c>
      <c r="N237" s="51" t="n"/>
      <c r="O237" s="65" t="n"/>
      <c r="P237" s="64">
        <f>IF(OR(B237="",E237="Done",H237=""),"",H237+ROW()/10000000)</f>
        <v/>
      </c>
    </row>
    <row r="238">
      <c r="A238" s="58">
        <f>IF(B238="","","T-"&amp;TEXT(ROW()-5,"000"))</f>
        <v/>
      </c>
      <c r="B238" s="65" t="n"/>
      <c r="C238" s="51" t="n"/>
      <c r="D238" s="51" t="n"/>
      <c r="E238" s="51" t="n"/>
      <c r="F238" s="51" t="n"/>
      <c r="G238" s="60" t="n"/>
      <c r="H238" s="61" t="n"/>
      <c r="I238" s="60" t="n"/>
      <c r="J238" s="62" t="n"/>
      <c r="K238" s="52" t="n"/>
      <c r="L238" s="63">
        <f>IF(OR(B238="",H238="",E238="Done"),"",ROUNDDOWN(H238-NOW(),0))</f>
        <v/>
      </c>
      <c r="M238" s="58">
        <f>IF(B238="","",IF(E238="Done","Complete",IF(E238="Blocked","Blocked",IF(H238="","No due date",IF(H238&lt;NOW(),"Overdue",IF(H238-NOW()&lt;=3,"Due soon","On track"))))))</f>
        <v/>
      </c>
      <c r="N238" s="51" t="n"/>
      <c r="O238" s="65" t="n"/>
      <c r="P238" s="64">
        <f>IF(OR(B238="",E238="Done",H238=""),"",H238+ROW()/10000000)</f>
        <v/>
      </c>
    </row>
    <row r="239">
      <c r="A239" s="58">
        <f>IF(B239="","","T-"&amp;TEXT(ROW()-5,"000"))</f>
        <v/>
      </c>
      <c r="B239" s="65" t="n"/>
      <c r="C239" s="51" t="n"/>
      <c r="D239" s="51" t="n"/>
      <c r="E239" s="51" t="n"/>
      <c r="F239" s="51" t="n"/>
      <c r="G239" s="60" t="n"/>
      <c r="H239" s="61" t="n"/>
      <c r="I239" s="60" t="n"/>
      <c r="J239" s="62" t="n"/>
      <c r="K239" s="52" t="n"/>
      <c r="L239" s="63">
        <f>IF(OR(B239="",H239="",E239="Done"),"",ROUNDDOWN(H239-NOW(),0))</f>
        <v/>
      </c>
      <c r="M239" s="58">
        <f>IF(B239="","",IF(E239="Done","Complete",IF(E239="Blocked","Blocked",IF(H239="","No due date",IF(H239&lt;NOW(),"Overdue",IF(H239-NOW()&lt;=3,"Due soon","On track"))))))</f>
        <v/>
      </c>
      <c r="N239" s="51" t="n"/>
      <c r="O239" s="65" t="n"/>
      <c r="P239" s="64">
        <f>IF(OR(B239="",E239="Done",H239=""),"",H239+ROW()/10000000)</f>
        <v/>
      </c>
    </row>
    <row r="240">
      <c r="A240" s="58">
        <f>IF(B240="","","T-"&amp;TEXT(ROW()-5,"000"))</f>
        <v/>
      </c>
      <c r="B240" s="65" t="n"/>
      <c r="C240" s="51" t="n"/>
      <c r="D240" s="51" t="n"/>
      <c r="E240" s="51" t="n"/>
      <c r="F240" s="51" t="n"/>
      <c r="G240" s="60" t="n"/>
      <c r="H240" s="61" t="n"/>
      <c r="I240" s="60" t="n"/>
      <c r="J240" s="62" t="n"/>
      <c r="K240" s="52" t="n"/>
      <c r="L240" s="63">
        <f>IF(OR(B240="",H240="",E240="Done"),"",ROUNDDOWN(H240-NOW(),0))</f>
        <v/>
      </c>
      <c r="M240" s="58">
        <f>IF(B240="","",IF(E240="Done","Complete",IF(E240="Blocked","Blocked",IF(H240="","No due date",IF(H240&lt;NOW(),"Overdue",IF(H240-NOW()&lt;=3,"Due soon","On track"))))))</f>
        <v/>
      </c>
      <c r="N240" s="51" t="n"/>
      <c r="O240" s="65" t="n"/>
      <c r="P240" s="64">
        <f>IF(OR(B240="",E240="Done",H240=""),"",H240+ROW()/10000000)</f>
        <v/>
      </c>
    </row>
    <row r="241">
      <c r="A241" s="58">
        <f>IF(B241="","","T-"&amp;TEXT(ROW()-5,"000"))</f>
        <v/>
      </c>
      <c r="B241" s="65" t="n"/>
      <c r="C241" s="51" t="n"/>
      <c r="D241" s="51" t="n"/>
      <c r="E241" s="51" t="n"/>
      <c r="F241" s="51" t="n"/>
      <c r="G241" s="60" t="n"/>
      <c r="H241" s="61" t="n"/>
      <c r="I241" s="60" t="n"/>
      <c r="J241" s="62" t="n"/>
      <c r="K241" s="52" t="n"/>
      <c r="L241" s="63">
        <f>IF(OR(B241="",H241="",E241="Done"),"",ROUNDDOWN(H241-NOW(),0))</f>
        <v/>
      </c>
      <c r="M241" s="58">
        <f>IF(B241="","",IF(E241="Done","Complete",IF(E241="Blocked","Blocked",IF(H241="","No due date",IF(H241&lt;NOW(),"Overdue",IF(H241-NOW()&lt;=3,"Due soon","On track"))))))</f>
        <v/>
      </c>
      <c r="N241" s="51" t="n"/>
      <c r="O241" s="65" t="n"/>
      <c r="P241" s="64">
        <f>IF(OR(B241="",E241="Done",H241=""),"",H241+ROW()/10000000)</f>
        <v/>
      </c>
    </row>
    <row r="242">
      <c r="A242" s="58">
        <f>IF(B242="","","T-"&amp;TEXT(ROW()-5,"000"))</f>
        <v/>
      </c>
      <c r="B242" s="65" t="n"/>
      <c r="C242" s="51" t="n"/>
      <c r="D242" s="51" t="n"/>
      <c r="E242" s="51" t="n"/>
      <c r="F242" s="51" t="n"/>
      <c r="G242" s="60" t="n"/>
      <c r="H242" s="61" t="n"/>
      <c r="I242" s="60" t="n"/>
      <c r="J242" s="62" t="n"/>
      <c r="K242" s="52" t="n"/>
      <c r="L242" s="63">
        <f>IF(OR(B242="",H242="",E242="Done"),"",ROUNDDOWN(H242-NOW(),0))</f>
        <v/>
      </c>
      <c r="M242" s="58">
        <f>IF(B242="","",IF(E242="Done","Complete",IF(E242="Blocked","Blocked",IF(H242="","No due date",IF(H242&lt;NOW(),"Overdue",IF(H242-NOW()&lt;=3,"Due soon","On track"))))))</f>
        <v/>
      </c>
      <c r="N242" s="51" t="n"/>
      <c r="O242" s="65" t="n"/>
      <c r="P242" s="64">
        <f>IF(OR(B242="",E242="Done",H242=""),"",H242+ROW()/10000000)</f>
        <v/>
      </c>
    </row>
    <row r="243">
      <c r="A243" s="58">
        <f>IF(B243="","","T-"&amp;TEXT(ROW()-5,"000"))</f>
        <v/>
      </c>
      <c r="B243" s="65" t="n"/>
      <c r="C243" s="51" t="n"/>
      <c r="D243" s="51" t="n"/>
      <c r="E243" s="51" t="n"/>
      <c r="F243" s="51" t="n"/>
      <c r="G243" s="60" t="n"/>
      <c r="H243" s="61" t="n"/>
      <c r="I243" s="60" t="n"/>
      <c r="J243" s="62" t="n"/>
      <c r="K243" s="52" t="n"/>
      <c r="L243" s="63">
        <f>IF(OR(B243="",H243="",E243="Done"),"",ROUNDDOWN(H243-NOW(),0))</f>
        <v/>
      </c>
      <c r="M243" s="58">
        <f>IF(B243="","",IF(E243="Done","Complete",IF(E243="Blocked","Blocked",IF(H243="","No due date",IF(H243&lt;NOW(),"Overdue",IF(H243-NOW()&lt;=3,"Due soon","On track"))))))</f>
        <v/>
      </c>
      <c r="N243" s="51" t="n"/>
      <c r="O243" s="65" t="n"/>
      <c r="P243" s="64">
        <f>IF(OR(B243="",E243="Done",H243=""),"",H243+ROW()/10000000)</f>
        <v/>
      </c>
    </row>
    <row r="244">
      <c r="A244" s="58">
        <f>IF(B244="","","T-"&amp;TEXT(ROW()-5,"000"))</f>
        <v/>
      </c>
      <c r="B244" s="65" t="n"/>
      <c r="C244" s="51" t="n"/>
      <c r="D244" s="51" t="n"/>
      <c r="E244" s="51" t="n"/>
      <c r="F244" s="51" t="n"/>
      <c r="G244" s="60" t="n"/>
      <c r="H244" s="61" t="n"/>
      <c r="I244" s="60" t="n"/>
      <c r="J244" s="62" t="n"/>
      <c r="K244" s="52" t="n"/>
      <c r="L244" s="63">
        <f>IF(OR(B244="",H244="",E244="Done"),"",ROUNDDOWN(H244-NOW(),0))</f>
        <v/>
      </c>
      <c r="M244" s="58">
        <f>IF(B244="","",IF(E244="Done","Complete",IF(E244="Blocked","Blocked",IF(H244="","No due date",IF(H244&lt;NOW(),"Overdue",IF(H244-NOW()&lt;=3,"Due soon","On track"))))))</f>
        <v/>
      </c>
      <c r="N244" s="51" t="n"/>
      <c r="O244" s="65" t="n"/>
      <c r="P244" s="64">
        <f>IF(OR(B244="",E244="Done",H244=""),"",H244+ROW()/10000000)</f>
        <v/>
      </c>
    </row>
    <row r="245">
      <c r="A245" s="58">
        <f>IF(B245="","","T-"&amp;TEXT(ROW()-5,"000"))</f>
        <v/>
      </c>
      <c r="B245" s="65" t="n"/>
      <c r="C245" s="51" t="n"/>
      <c r="D245" s="51" t="n"/>
      <c r="E245" s="51" t="n"/>
      <c r="F245" s="51" t="n"/>
      <c r="G245" s="60" t="n"/>
      <c r="H245" s="61" t="n"/>
      <c r="I245" s="60" t="n"/>
      <c r="J245" s="62" t="n"/>
      <c r="K245" s="52" t="n"/>
      <c r="L245" s="63">
        <f>IF(OR(B245="",H245="",E245="Done"),"",ROUNDDOWN(H245-NOW(),0))</f>
        <v/>
      </c>
      <c r="M245" s="58">
        <f>IF(B245="","",IF(E245="Done","Complete",IF(E245="Blocked","Blocked",IF(H245="","No due date",IF(H245&lt;NOW(),"Overdue",IF(H245-NOW()&lt;=3,"Due soon","On track"))))))</f>
        <v/>
      </c>
      <c r="N245" s="51" t="n"/>
      <c r="O245" s="65" t="n"/>
      <c r="P245" s="64">
        <f>IF(OR(B245="",E245="Done",H245=""),"",H245+ROW()/10000000)</f>
        <v/>
      </c>
    </row>
    <row r="246">
      <c r="A246" s="58">
        <f>IF(B246="","","T-"&amp;TEXT(ROW()-5,"000"))</f>
        <v/>
      </c>
      <c r="B246" s="65" t="n"/>
      <c r="C246" s="51" t="n"/>
      <c r="D246" s="51" t="n"/>
      <c r="E246" s="51" t="n"/>
      <c r="F246" s="51" t="n"/>
      <c r="G246" s="60" t="n"/>
      <c r="H246" s="61" t="n"/>
      <c r="I246" s="60" t="n"/>
      <c r="J246" s="62" t="n"/>
      <c r="K246" s="52" t="n"/>
      <c r="L246" s="63">
        <f>IF(OR(B246="",H246="",E246="Done"),"",ROUNDDOWN(H246-NOW(),0))</f>
        <v/>
      </c>
      <c r="M246" s="58">
        <f>IF(B246="","",IF(E246="Done","Complete",IF(E246="Blocked","Blocked",IF(H246="","No due date",IF(H246&lt;NOW(),"Overdue",IF(H246-NOW()&lt;=3,"Due soon","On track"))))))</f>
        <v/>
      </c>
      <c r="N246" s="51" t="n"/>
      <c r="O246" s="65" t="n"/>
      <c r="P246" s="64">
        <f>IF(OR(B246="",E246="Done",H246=""),"",H246+ROW()/10000000)</f>
        <v/>
      </c>
    </row>
    <row r="247">
      <c r="A247" s="58">
        <f>IF(B247="","","T-"&amp;TEXT(ROW()-5,"000"))</f>
        <v/>
      </c>
      <c r="B247" s="65" t="n"/>
      <c r="C247" s="51" t="n"/>
      <c r="D247" s="51" t="n"/>
      <c r="E247" s="51" t="n"/>
      <c r="F247" s="51" t="n"/>
      <c r="G247" s="60" t="n"/>
      <c r="H247" s="61" t="n"/>
      <c r="I247" s="60" t="n"/>
      <c r="J247" s="62" t="n"/>
      <c r="K247" s="52" t="n"/>
      <c r="L247" s="63">
        <f>IF(OR(B247="",H247="",E247="Done"),"",ROUNDDOWN(H247-NOW(),0))</f>
        <v/>
      </c>
      <c r="M247" s="58">
        <f>IF(B247="","",IF(E247="Done","Complete",IF(E247="Blocked","Blocked",IF(H247="","No due date",IF(H247&lt;NOW(),"Overdue",IF(H247-NOW()&lt;=3,"Due soon","On track"))))))</f>
        <v/>
      </c>
      <c r="N247" s="51" t="n"/>
      <c r="O247" s="65" t="n"/>
      <c r="P247" s="64">
        <f>IF(OR(B247="",E247="Done",H247=""),"",H247+ROW()/10000000)</f>
        <v/>
      </c>
    </row>
    <row r="248">
      <c r="A248" s="58">
        <f>IF(B248="","","T-"&amp;TEXT(ROW()-5,"000"))</f>
        <v/>
      </c>
      <c r="B248" s="65" t="n"/>
      <c r="C248" s="51" t="n"/>
      <c r="D248" s="51" t="n"/>
      <c r="E248" s="51" t="n"/>
      <c r="F248" s="51" t="n"/>
      <c r="G248" s="60" t="n"/>
      <c r="H248" s="61" t="n"/>
      <c r="I248" s="60" t="n"/>
      <c r="J248" s="62" t="n"/>
      <c r="K248" s="52" t="n"/>
      <c r="L248" s="63">
        <f>IF(OR(B248="",H248="",E248="Done"),"",ROUNDDOWN(H248-NOW(),0))</f>
        <v/>
      </c>
      <c r="M248" s="58">
        <f>IF(B248="","",IF(E248="Done","Complete",IF(E248="Blocked","Blocked",IF(H248="","No due date",IF(H248&lt;NOW(),"Overdue",IF(H248-NOW()&lt;=3,"Due soon","On track"))))))</f>
        <v/>
      </c>
      <c r="N248" s="51" t="n"/>
      <c r="O248" s="65" t="n"/>
      <c r="P248" s="64">
        <f>IF(OR(B248="",E248="Done",H248=""),"",H248+ROW()/10000000)</f>
        <v/>
      </c>
    </row>
    <row r="249">
      <c r="A249" s="58">
        <f>IF(B249="","","T-"&amp;TEXT(ROW()-5,"000"))</f>
        <v/>
      </c>
      <c r="B249" s="65" t="n"/>
      <c r="C249" s="51" t="n"/>
      <c r="D249" s="51" t="n"/>
      <c r="E249" s="51" t="n"/>
      <c r="F249" s="51" t="n"/>
      <c r="G249" s="60" t="n"/>
      <c r="H249" s="61" t="n"/>
      <c r="I249" s="60" t="n"/>
      <c r="J249" s="62" t="n"/>
      <c r="K249" s="52" t="n"/>
      <c r="L249" s="63">
        <f>IF(OR(B249="",H249="",E249="Done"),"",ROUNDDOWN(H249-NOW(),0))</f>
        <v/>
      </c>
      <c r="M249" s="58">
        <f>IF(B249="","",IF(E249="Done","Complete",IF(E249="Blocked","Blocked",IF(H249="","No due date",IF(H249&lt;NOW(),"Overdue",IF(H249-NOW()&lt;=3,"Due soon","On track"))))))</f>
        <v/>
      </c>
      <c r="N249" s="51" t="n"/>
      <c r="O249" s="65" t="n"/>
      <c r="P249" s="64">
        <f>IF(OR(B249="",E249="Done",H249=""),"",H249+ROW()/10000000)</f>
        <v/>
      </c>
    </row>
    <row r="250">
      <c r="A250" s="58">
        <f>IF(B250="","","T-"&amp;TEXT(ROW()-5,"000"))</f>
        <v/>
      </c>
      <c r="B250" s="65" t="n"/>
      <c r="C250" s="51" t="n"/>
      <c r="D250" s="51" t="n"/>
      <c r="E250" s="51" t="n"/>
      <c r="F250" s="51" t="n"/>
      <c r="G250" s="60" t="n"/>
      <c r="H250" s="61" t="n"/>
      <c r="I250" s="60" t="n"/>
      <c r="J250" s="62" t="n"/>
      <c r="K250" s="52" t="n"/>
      <c r="L250" s="63">
        <f>IF(OR(B250="",H250="",E250="Done"),"",ROUNDDOWN(H250-NOW(),0))</f>
        <v/>
      </c>
      <c r="M250" s="58">
        <f>IF(B250="","",IF(E250="Done","Complete",IF(E250="Blocked","Blocked",IF(H250="","No due date",IF(H250&lt;NOW(),"Overdue",IF(H250-NOW()&lt;=3,"Due soon","On track"))))))</f>
        <v/>
      </c>
      <c r="N250" s="51" t="n"/>
      <c r="O250" s="65" t="n"/>
      <c r="P250" s="64">
        <f>IF(OR(B250="",E250="Done",H250=""),"",H250+ROW()/10000000)</f>
        <v/>
      </c>
    </row>
    <row r="251">
      <c r="A251" s="58">
        <f>IF(B251="","","T-"&amp;TEXT(ROW()-5,"000"))</f>
        <v/>
      </c>
      <c r="B251" s="65" t="n"/>
      <c r="C251" s="51" t="n"/>
      <c r="D251" s="51" t="n"/>
      <c r="E251" s="51" t="n"/>
      <c r="F251" s="51" t="n"/>
      <c r="G251" s="60" t="n"/>
      <c r="H251" s="61" t="n"/>
      <c r="I251" s="60" t="n"/>
      <c r="J251" s="62" t="n"/>
      <c r="K251" s="52" t="n"/>
      <c r="L251" s="63">
        <f>IF(OR(B251="",H251="",E251="Done"),"",ROUNDDOWN(H251-NOW(),0))</f>
        <v/>
      </c>
      <c r="M251" s="58">
        <f>IF(B251="","",IF(E251="Done","Complete",IF(E251="Blocked","Blocked",IF(H251="","No due date",IF(H251&lt;NOW(),"Overdue",IF(H251-NOW()&lt;=3,"Due soon","On track"))))))</f>
        <v/>
      </c>
      <c r="N251" s="51" t="n"/>
      <c r="O251" s="65" t="n"/>
      <c r="P251" s="64">
        <f>IF(OR(B251="",E251="Done",H251=""),"",H251+ROW()/10000000)</f>
        <v/>
      </c>
    </row>
    <row r="252">
      <c r="A252" s="58">
        <f>IF(B252="","","T-"&amp;TEXT(ROW()-5,"000"))</f>
        <v/>
      </c>
      <c r="B252" s="65" t="n"/>
      <c r="C252" s="51" t="n"/>
      <c r="D252" s="51" t="n"/>
      <c r="E252" s="51" t="n"/>
      <c r="F252" s="51" t="n"/>
      <c r="G252" s="60" t="n"/>
      <c r="H252" s="61" t="n"/>
      <c r="I252" s="60" t="n"/>
      <c r="J252" s="62" t="n"/>
      <c r="K252" s="52" t="n"/>
      <c r="L252" s="63">
        <f>IF(OR(B252="",H252="",E252="Done"),"",ROUNDDOWN(H252-NOW(),0))</f>
        <v/>
      </c>
      <c r="M252" s="58">
        <f>IF(B252="","",IF(E252="Done","Complete",IF(E252="Blocked","Blocked",IF(H252="","No due date",IF(H252&lt;NOW(),"Overdue",IF(H252-NOW()&lt;=3,"Due soon","On track"))))))</f>
        <v/>
      </c>
      <c r="N252" s="51" t="n"/>
      <c r="O252" s="65" t="n"/>
      <c r="P252" s="64">
        <f>IF(OR(B252="",E252="Done",H252=""),"",H252+ROW()/10000000)</f>
        <v/>
      </c>
    </row>
    <row r="253">
      <c r="A253" s="58">
        <f>IF(B253="","","T-"&amp;TEXT(ROW()-5,"000"))</f>
        <v/>
      </c>
      <c r="B253" s="65" t="n"/>
      <c r="C253" s="51" t="n"/>
      <c r="D253" s="51" t="n"/>
      <c r="E253" s="51" t="n"/>
      <c r="F253" s="51" t="n"/>
      <c r="G253" s="60" t="n"/>
      <c r="H253" s="61" t="n"/>
      <c r="I253" s="60" t="n"/>
      <c r="J253" s="62" t="n"/>
      <c r="K253" s="52" t="n"/>
      <c r="L253" s="63">
        <f>IF(OR(B253="",H253="",E253="Done"),"",ROUNDDOWN(H253-NOW(),0))</f>
        <v/>
      </c>
      <c r="M253" s="58">
        <f>IF(B253="","",IF(E253="Done","Complete",IF(E253="Blocked","Blocked",IF(H253="","No due date",IF(H253&lt;NOW(),"Overdue",IF(H253-NOW()&lt;=3,"Due soon","On track"))))))</f>
        <v/>
      </c>
      <c r="N253" s="51" t="n"/>
      <c r="O253" s="65" t="n"/>
      <c r="P253" s="64">
        <f>IF(OR(B253="",E253="Done",H253=""),"",H253+ROW()/10000000)</f>
        <v/>
      </c>
    </row>
    <row r="254">
      <c r="A254" s="58">
        <f>IF(B254="","","T-"&amp;TEXT(ROW()-5,"000"))</f>
        <v/>
      </c>
      <c r="B254" s="65" t="n"/>
      <c r="C254" s="51" t="n"/>
      <c r="D254" s="51" t="n"/>
      <c r="E254" s="51" t="n"/>
      <c r="F254" s="51" t="n"/>
      <c r="G254" s="60" t="n"/>
      <c r="H254" s="61" t="n"/>
      <c r="I254" s="60" t="n"/>
      <c r="J254" s="62" t="n"/>
      <c r="K254" s="52" t="n"/>
      <c r="L254" s="63">
        <f>IF(OR(B254="",H254="",E254="Done"),"",ROUNDDOWN(H254-NOW(),0))</f>
        <v/>
      </c>
      <c r="M254" s="58">
        <f>IF(B254="","",IF(E254="Done","Complete",IF(E254="Blocked","Blocked",IF(H254="","No due date",IF(H254&lt;NOW(),"Overdue",IF(H254-NOW()&lt;=3,"Due soon","On track"))))))</f>
        <v/>
      </c>
      <c r="N254" s="51" t="n"/>
      <c r="O254" s="65" t="n"/>
      <c r="P254" s="64">
        <f>IF(OR(B254="",E254="Done",H254=""),"",H254+ROW()/10000000)</f>
        <v/>
      </c>
    </row>
    <row r="255">
      <c r="A255" s="58">
        <f>IF(B255="","","T-"&amp;TEXT(ROW()-5,"000"))</f>
        <v/>
      </c>
      <c r="B255" s="65" t="n"/>
      <c r="C255" s="51" t="n"/>
      <c r="D255" s="51" t="n"/>
      <c r="E255" s="51" t="n"/>
      <c r="F255" s="51" t="n"/>
      <c r="G255" s="60" t="n"/>
      <c r="H255" s="61" t="n"/>
      <c r="I255" s="60" t="n"/>
      <c r="J255" s="62" t="n"/>
      <c r="K255" s="52" t="n"/>
      <c r="L255" s="63">
        <f>IF(OR(B255="",H255="",E255="Done"),"",ROUNDDOWN(H255-NOW(),0))</f>
        <v/>
      </c>
      <c r="M255" s="58">
        <f>IF(B255="","",IF(E255="Done","Complete",IF(E255="Blocked","Blocked",IF(H255="","No due date",IF(H255&lt;NOW(),"Overdue",IF(H255-NOW()&lt;=3,"Due soon","On track"))))))</f>
        <v/>
      </c>
      <c r="N255" s="51" t="n"/>
      <c r="O255" s="65" t="n"/>
      <c r="P255" s="64">
        <f>IF(OR(B255="",E255="Done",H255=""),"",H255+ROW()/10000000)</f>
        <v/>
      </c>
    </row>
    <row r="256">
      <c r="A256" s="58">
        <f>IF(B256="","","T-"&amp;TEXT(ROW()-5,"000"))</f>
        <v/>
      </c>
      <c r="B256" s="65" t="n"/>
      <c r="C256" s="51" t="n"/>
      <c r="D256" s="51" t="n"/>
      <c r="E256" s="51" t="n"/>
      <c r="F256" s="51" t="n"/>
      <c r="G256" s="60" t="n"/>
      <c r="H256" s="61" t="n"/>
      <c r="I256" s="60" t="n"/>
      <c r="J256" s="62" t="n"/>
      <c r="K256" s="52" t="n"/>
      <c r="L256" s="63">
        <f>IF(OR(B256="",H256="",E256="Done"),"",ROUNDDOWN(H256-NOW(),0))</f>
        <v/>
      </c>
      <c r="M256" s="58">
        <f>IF(B256="","",IF(E256="Done","Complete",IF(E256="Blocked","Blocked",IF(H256="","No due date",IF(H256&lt;NOW(),"Overdue",IF(H256-NOW()&lt;=3,"Due soon","On track"))))))</f>
        <v/>
      </c>
      <c r="N256" s="51" t="n"/>
      <c r="O256" s="65" t="n"/>
      <c r="P256" s="64">
        <f>IF(OR(B256="",E256="Done",H256=""),"",H256+ROW()/10000000)</f>
        <v/>
      </c>
    </row>
    <row r="257">
      <c r="A257" s="58">
        <f>IF(B257="","","T-"&amp;TEXT(ROW()-5,"000"))</f>
        <v/>
      </c>
      <c r="B257" s="65" t="n"/>
      <c r="C257" s="51" t="n"/>
      <c r="D257" s="51" t="n"/>
      <c r="E257" s="51" t="n"/>
      <c r="F257" s="51" t="n"/>
      <c r="G257" s="60" t="n"/>
      <c r="H257" s="61" t="n"/>
      <c r="I257" s="60" t="n"/>
      <c r="J257" s="62" t="n"/>
      <c r="K257" s="52" t="n"/>
      <c r="L257" s="63">
        <f>IF(OR(B257="",H257="",E257="Done"),"",ROUNDDOWN(H257-NOW(),0))</f>
        <v/>
      </c>
      <c r="M257" s="58">
        <f>IF(B257="","",IF(E257="Done","Complete",IF(E257="Blocked","Blocked",IF(H257="","No due date",IF(H257&lt;NOW(),"Overdue",IF(H257-NOW()&lt;=3,"Due soon","On track"))))))</f>
        <v/>
      </c>
      <c r="N257" s="51" t="n"/>
      <c r="O257" s="65" t="n"/>
      <c r="P257" s="64">
        <f>IF(OR(B257="",E257="Done",H257=""),"",H257+ROW()/10000000)</f>
        <v/>
      </c>
    </row>
    <row r="258">
      <c r="A258" s="58">
        <f>IF(B258="","","T-"&amp;TEXT(ROW()-5,"000"))</f>
        <v/>
      </c>
      <c r="B258" s="65" t="n"/>
      <c r="C258" s="51" t="n"/>
      <c r="D258" s="51" t="n"/>
      <c r="E258" s="51" t="n"/>
      <c r="F258" s="51" t="n"/>
      <c r="G258" s="60" t="n"/>
      <c r="H258" s="61" t="n"/>
      <c r="I258" s="60" t="n"/>
      <c r="J258" s="62" t="n"/>
      <c r="K258" s="52" t="n"/>
      <c r="L258" s="63">
        <f>IF(OR(B258="",H258="",E258="Done"),"",ROUNDDOWN(H258-NOW(),0))</f>
        <v/>
      </c>
      <c r="M258" s="58">
        <f>IF(B258="","",IF(E258="Done","Complete",IF(E258="Blocked","Blocked",IF(H258="","No due date",IF(H258&lt;NOW(),"Overdue",IF(H258-NOW()&lt;=3,"Due soon","On track"))))))</f>
        <v/>
      </c>
      <c r="N258" s="51" t="n"/>
      <c r="O258" s="65" t="n"/>
      <c r="P258" s="64">
        <f>IF(OR(B258="",E258="Done",H258=""),"",H258+ROW()/10000000)</f>
        <v/>
      </c>
    </row>
    <row r="259">
      <c r="A259" s="58">
        <f>IF(B259="","","T-"&amp;TEXT(ROW()-5,"000"))</f>
        <v/>
      </c>
      <c r="B259" s="65" t="n"/>
      <c r="C259" s="51" t="n"/>
      <c r="D259" s="51" t="n"/>
      <c r="E259" s="51" t="n"/>
      <c r="F259" s="51" t="n"/>
      <c r="G259" s="60" t="n"/>
      <c r="H259" s="61" t="n"/>
      <c r="I259" s="60" t="n"/>
      <c r="J259" s="62" t="n"/>
      <c r="K259" s="52" t="n"/>
      <c r="L259" s="63">
        <f>IF(OR(B259="",H259="",E259="Done"),"",ROUNDDOWN(H259-NOW(),0))</f>
        <v/>
      </c>
      <c r="M259" s="58">
        <f>IF(B259="","",IF(E259="Done","Complete",IF(E259="Blocked","Blocked",IF(H259="","No due date",IF(H259&lt;NOW(),"Overdue",IF(H259-NOW()&lt;=3,"Due soon","On track"))))))</f>
        <v/>
      </c>
      <c r="N259" s="51" t="n"/>
      <c r="O259" s="65" t="n"/>
      <c r="P259" s="64">
        <f>IF(OR(B259="",E259="Done",H259=""),"",H259+ROW()/10000000)</f>
        <v/>
      </c>
    </row>
    <row r="260">
      <c r="A260" s="58">
        <f>IF(B260="","","T-"&amp;TEXT(ROW()-5,"000"))</f>
        <v/>
      </c>
      <c r="B260" s="65" t="n"/>
      <c r="C260" s="51" t="n"/>
      <c r="D260" s="51" t="n"/>
      <c r="E260" s="51" t="n"/>
      <c r="F260" s="51" t="n"/>
      <c r="G260" s="60" t="n"/>
      <c r="H260" s="61" t="n"/>
      <c r="I260" s="60" t="n"/>
      <c r="J260" s="62" t="n"/>
      <c r="K260" s="52" t="n"/>
      <c r="L260" s="63">
        <f>IF(OR(B260="",H260="",E260="Done"),"",ROUNDDOWN(H260-NOW(),0))</f>
        <v/>
      </c>
      <c r="M260" s="58">
        <f>IF(B260="","",IF(E260="Done","Complete",IF(E260="Blocked","Blocked",IF(H260="","No due date",IF(H260&lt;NOW(),"Overdue",IF(H260-NOW()&lt;=3,"Due soon","On track"))))))</f>
        <v/>
      </c>
      <c r="N260" s="51" t="n"/>
      <c r="O260" s="65" t="n"/>
      <c r="P260" s="64">
        <f>IF(OR(B260="",E260="Done",H260=""),"",H260+ROW()/10000000)</f>
        <v/>
      </c>
    </row>
    <row r="261">
      <c r="A261" s="58">
        <f>IF(B261="","","T-"&amp;TEXT(ROW()-5,"000"))</f>
        <v/>
      </c>
      <c r="B261" s="65" t="n"/>
      <c r="C261" s="51" t="n"/>
      <c r="D261" s="51" t="n"/>
      <c r="E261" s="51" t="n"/>
      <c r="F261" s="51" t="n"/>
      <c r="G261" s="60" t="n"/>
      <c r="H261" s="61" t="n"/>
      <c r="I261" s="60" t="n"/>
      <c r="J261" s="62" t="n"/>
      <c r="K261" s="52" t="n"/>
      <c r="L261" s="63">
        <f>IF(OR(B261="",H261="",E261="Done"),"",ROUNDDOWN(H261-NOW(),0))</f>
        <v/>
      </c>
      <c r="M261" s="58">
        <f>IF(B261="","",IF(E261="Done","Complete",IF(E261="Blocked","Blocked",IF(H261="","No due date",IF(H261&lt;NOW(),"Overdue",IF(H261-NOW()&lt;=3,"Due soon","On track"))))))</f>
        <v/>
      </c>
      <c r="N261" s="51" t="n"/>
      <c r="O261" s="65" t="n"/>
      <c r="P261" s="64">
        <f>IF(OR(B261="",E261="Done",H261=""),"",H261+ROW()/10000000)</f>
        <v/>
      </c>
    </row>
    <row r="262">
      <c r="A262" s="58">
        <f>IF(B262="","","T-"&amp;TEXT(ROW()-5,"000"))</f>
        <v/>
      </c>
      <c r="B262" s="65" t="n"/>
      <c r="C262" s="51" t="n"/>
      <c r="D262" s="51" t="n"/>
      <c r="E262" s="51" t="n"/>
      <c r="F262" s="51" t="n"/>
      <c r="G262" s="60" t="n"/>
      <c r="H262" s="61" t="n"/>
      <c r="I262" s="60" t="n"/>
      <c r="J262" s="62" t="n"/>
      <c r="K262" s="52" t="n"/>
      <c r="L262" s="63">
        <f>IF(OR(B262="",H262="",E262="Done"),"",ROUNDDOWN(H262-NOW(),0))</f>
        <v/>
      </c>
      <c r="M262" s="58">
        <f>IF(B262="","",IF(E262="Done","Complete",IF(E262="Blocked","Blocked",IF(H262="","No due date",IF(H262&lt;NOW(),"Overdue",IF(H262-NOW()&lt;=3,"Due soon","On track"))))))</f>
        <v/>
      </c>
      <c r="N262" s="51" t="n"/>
      <c r="O262" s="65" t="n"/>
      <c r="P262" s="64">
        <f>IF(OR(B262="",E262="Done",H262=""),"",H262+ROW()/10000000)</f>
        <v/>
      </c>
    </row>
    <row r="263">
      <c r="A263" s="58">
        <f>IF(B263="","","T-"&amp;TEXT(ROW()-5,"000"))</f>
        <v/>
      </c>
      <c r="B263" s="65" t="n"/>
      <c r="C263" s="51" t="n"/>
      <c r="D263" s="51" t="n"/>
      <c r="E263" s="51" t="n"/>
      <c r="F263" s="51" t="n"/>
      <c r="G263" s="60" t="n"/>
      <c r="H263" s="61" t="n"/>
      <c r="I263" s="60" t="n"/>
      <c r="J263" s="62" t="n"/>
      <c r="K263" s="52" t="n"/>
      <c r="L263" s="63">
        <f>IF(OR(B263="",H263="",E263="Done"),"",ROUNDDOWN(H263-NOW(),0))</f>
        <v/>
      </c>
      <c r="M263" s="58">
        <f>IF(B263="","",IF(E263="Done","Complete",IF(E263="Blocked","Blocked",IF(H263="","No due date",IF(H263&lt;NOW(),"Overdue",IF(H263-NOW()&lt;=3,"Due soon","On track"))))))</f>
        <v/>
      </c>
      <c r="N263" s="51" t="n"/>
      <c r="O263" s="65" t="n"/>
      <c r="P263" s="64">
        <f>IF(OR(B263="",E263="Done",H263=""),"",H263+ROW()/10000000)</f>
        <v/>
      </c>
    </row>
    <row r="264">
      <c r="A264" s="58">
        <f>IF(B264="","","T-"&amp;TEXT(ROW()-5,"000"))</f>
        <v/>
      </c>
      <c r="B264" s="65" t="n"/>
      <c r="C264" s="51" t="n"/>
      <c r="D264" s="51" t="n"/>
      <c r="E264" s="51" t="n"/>
      <c r="F264" s="51" t="n"/>
      <c r="G264" s="60" t="n"/>
      <c r="H264" s="61" t="n"/>
      <c r="I264" s="60" t="n"/>
      <c r="J264" s="62" t="n"/>
      <c r="K264" s="52" t="n"/>
      <c r="L264" s="63">
        <f>IF(OR(B264="",H264="",E264="Done"),"",ROUNDDOWN(H264-NOW(),0))</f>
        <v/>
      </c>
      <c r="M264" s="58">
        <f>IF(B264="","",IF(E264="Done","Complete",IF(E264="Blocked","Blocked",IF(H264="","No due date",IF(H264&lt;NOW(),"Overdue",IF(H264-NOW()&lt;=3,"Due soon","On track"))))))</f>
        <v/>
      </c>
      <c r="N264" s="51" t="n"/>
      <c r="O264" s="65" t="n"/>
      <c r="P264" s="64">
        <f>IF(OR(B264="",E264="Done",H264=""),"",H264+ROW()/10000000)</f>
        <v/>
      </c>
    </row>
    <row r="265">
      <c r="A265" s="58">
        <f>IF(B265="","","T-"&amp;TEXT(ROW()-5,"000"))</f>
        <v/>
      </c>
      <c r="B265" s="65" t="n"/>
      <c r="C265" s="51" t="n"/>
      <c r="D265" s="51" t="n"/>
      <c r="E265" s="51" t="n"/>
      <c r="F265" s="51" t="n"/>
      <c r="G265" s="60" t="n"/>
      <c r="H265" s="61" t="n"/>
      <c r="I265" s="60" t="n"/>
      <c r="J265" s="62" t="n"/>
      <c r="K265" s="52" t="n"/>
      <c r="L265" s="63">
        <f>IF(OR(B265="",H265="",E265="Done"),"",ROUNDDOWN(H265-NOW(),0))</f>
        <v/>
      </c>
      <c r="M265" s="58">
        <f>IF(B265="","",IF(E265="Done","Complete",IF(E265="Blocked","Blocked",IF(H265="","No due date",IF(H265&lt;NOW(),"Overdue",IF(H265-NOW()&lt;=3,"Due soon","On track"))))))</f>
        <v/>
      </c>
      <c r="N265" s="51" t="n"/>
      <c r="O265" s="65" t="n"/>
      <c r="P265" s="64">
        <f>IF(OR(B265="",E265="Done",H265=""),"",H265+ROW()/10000000)</f>
        <v/>
      </c>
    </row>
    <row r="266">
      <c r="A266" s="58">
        <f>IF(B266="","","T-"&amp;TEXT(ROW()-5,"000"))</f>
        <v/>
      </c>
      <c r="B266" s="65" t="n"/>
      <c r="C266" s="51" t="n"/>
      <c r="D266" s="51" t="n"/>
      <c r="E266" s="51" t="n"/>
      <c r="F266" s="51" t="n"/>
      <c r="G266" s="60" t="n"/>
      <c r="H266" s="61" t="n"/>
      <c r="I266" s="60" t="n"/>
      <c r="J266" s="62" t="n"/>
      <c r="K266" s="52" t="n"/>
      <c r="L266" s="63">
        <f>IF(OR(B266="",H266="",E266="Done"),"",ROUNDDOWN(H266-NOW(),0))</f>
        <v/>
      </c>
      <c r="M266" s="58">
        <f>IF(B266="","",IF(E266="Done","Complete",IF(E266="Blocked","Blocked",IF(H266="","No due date",IF(H266&lt;NOW(),"Overdue",IF(H266-NOW()&lt;=3,"Due soon","On track"))))))</f>
        <v/>
      </c>
      <c r="N266" s="51" t="n"/>
      <c r="O266" s="65" t="n"/>
      <c r="P266" s="64">
        <f>IF(OR(B266="",E266="Done",H266=""),"",H266+ROW()/10000000)</f>
        <v/>
      </c>
    </row>
    <row r="267">
      <c r="A267" s="58">
        <f>IF(B267="","","T-"&amp;TEXT(ROW()-5,"000"))</f>
        <v/>
      </c>
      <c r="B267" s="65" t="n"/>
      <c r="C267" s="51" t="n"/>
      <c r="D267" s="51" t="n"/>
      <c r="E267" s="51" t="n"/>
      <c r="F267" s="51" t="n"/>
      <c r="G267" s="60" t="n"/>
      <c r="H267" s="61" t="n"/>
      <c r="I267" s="60" t="n"/>
      <c r="J267" s="62" t="n"/>
      <c r="K267" s="52" t="n"/>
      <c r="L267" s="63">
        <f>IF(OR(B267="",H267="",E267="Done"),"",ROUNDDOWN(H267-NOW(),0))</f>
        <v/>
      </c>
      <c r="M267" s="58">
        <f>IF(B267="","",IF(E267="Done","Complete",IF(E267="Blocked","Blocked",IF(H267="","No due date",IF(H267&lt;NOW(),"Overdue",IF(H267-NOW()&lt;=3,"Due soon","On track"))))))</f>
        <v/>
      </c>
      <c r="N267" s="51" t="n"/>
      <c r="O267" s="65" t="n"/>
      <c r="P267" s="64">
        <f>IF(OR(B267="",E267="Done",H267=""),"",H267+ROW()/10000000)</f>
        <v/>
      </c>
    </row>
    <row r="268">
      <c r="A268" s="58">
        <f>IF(B268="","","T-"&amp;TEXT(ROW()-5,"000"))</f>
        <v/>
      </c>
      <c r="B268" s="65" t="n"/>
      <c r="C268" s="51" t="n"/>
      <c r="D268" s="51" t="n"/>
      <c r="E268" s="51" t="n"/>
      <c r="F268" s="51" t="n"/>
      <c r="G268" s="60" t="n"/>
      <c r="H268" s="61" t="n"/>
      <c r="I268" s="60" t="n"/>
      <c r="J268" s="62" t="n"/>
      <c r="K268" s="52" t="n"/>
      <c r="L268" s="63">
        <f>IF(OR(B268="",H268="",E268="Done"),"",ROUNDDOWN(H268-NOW(),0))</f>
        <v/>
      </c>
      <c r="M268" s="58">
        <f>IF(B268="","",IF(E268="Done","Complete",IF(E268="Blocked","Blocked",IF(H268="","No due date",IF(H268&lt;NOW(),"Overdue",IF(H268-NOW()&lt;=3,"Due soon","On track"))))))</f>
        <v/>
      </c>
      <c r="N268" s="51" t="n"/>
      <c r="O268" s="65" t="n"/>
      <c r="P268" s="64">
        <f>IF(OR(B268="",E268="Done",H268=""),"",H268+ROW()/10000000)</f>
        <v/>
      </c>
    </row>
    <row r="269">
      <c r="A269" s="58">
        <f>IF(B269="","","T-"&amp;TEXT(ROW()-5,"000"))</f>
        <v/>
      </c>
      <c r="B269" s="65" t="n"/>
      <c r="C269" s="51" t="n"/>
      <c r="D269" s="51" t="n"/>
      <c r="E269" s="51" t="n"/>
      <c r="F269" s="51" t="n"/>
      <c r="G269" s="60" t="n"/>
      <c r="H269" s="61" t="n"/>
      <c r="I269" s="60" t="n"/>
      <c r="J269" s="62" t="n"/>
      <c r="K269" s="52" t="n"/>
      <c r="L269" s="63">
        <f>IF(OR(B269="",H269="",E269="Done"),"",ROUNDDOWN(H269-NOW(),0))</f>
        <v/>
      </c>
      <c r="M269" s="58">
        <f>IF(B269="","",IF(E269="Done","Complete",IF(E269="Blocked","Blocked",IF(H269="","No due date",IF(H269&lt;NOW(),"Overdue",IF(H269-NOW()&lt;=3,"Due soon","On track"))))))</f>
        <v/>
      </c>
      <c r="N269" s="51" t="n"/>
      <c r="O269" s="65" t="n"/>
      <c r="P269" s="64">
        <f>IF(OR(B269="",E269="Done",H269=""),"",H269+ROW()/10000000)</f>
        <v/>
      </c>
    </row>
    <row r="270">
      <c r="A270" s="58">
        <f>IF(B270="","","T-"&amp;TEXT(ROW()-5,"000"))</f>
        <v/>
      </c>
      <c r="B270" s="65" t="n"/>
      <c r="C270" s="51" t="n"/>
      <c r="D270" s="51" t="n"/>
      <c r="E270" s="51" t="n"/>
      <c r="F270" s="51" t="n"/>
      <c r="G270" s="60" t="n"/>
      <c r="H270" s="61" t="n"/>
      <c r="I270" s="60" t="n"/>
      <c r="J270" s="62" t="n"/>
      <c r="K270" s="52" t="n"/>
      <c r="L270" s="63">
        <f>IF(OR(B270="",H270="",E270="Done"),"",ROUNDDOWN(H270-NOW(),0))</f>
        <v/>
      </c>
      <c r="M270" s="58">
        <f>IF(B270="","",IF(E270="Done","Complete",IF(E270="Blocked","Blocked",IF(H270="","No due date",IF(H270&lt;NOW(),"Overdue",IF(H270-NOW()&lt;=3,"Due soon","On track"))))))</f>
        <v/>
      </c>
      <c r="N270" s="51" t="n"/>
      <c r="O270" s="65" t="n"/>
      <c r="P270" s="64">
        <f>IF(OR(B270="",E270="Done",H270=""),"",H270+ROW()/10000000)</f>
        <v/>
      </c>
    </row>
    <row r="271">
      <c r="A271" s="58">
        <f>IF(B271="","","T-"&amp;TEXT(ROW()-5,"000"))</f>
        <v/>
      </c>
      <c r="B271" s="65" t="n"/>
      <c r="C271" s="51" t="n"/>
      <c r="D271" s="51" t="n"/>
      <c r="E271" s="51" t="n"/>
      <c r="F271" s="51" t="n"/>
      <c r="G271" s="60" t="n"/>
      <c r="H271" s="61" t="n"/>
      <c r="I271" s="60" t="n"/>
      <c r="J271" s="62" t="n"/>
      <c r="K271" s="52" t="n"/>
      <c r="L271" s="63">
        <f>IF(OR(B271="",H271="",E271="Done"),"",ROUNDDOWN(H271-NOW(),0))</f>
        <v/>
      </c>
      <c r="M271" s="58">
        <f>IF(B271="","",IF(E271="Done","Complete",IF(E271="Blocked","Blocked",IF(H271="","No due date",IF(H271&lt;NOW(),"Overdue",IF(H271-NOW()&lt;=3,"Due soon","On track"))))))</f>
        <v/>
      </c>
      <c r="N271" s="51" t="n"/>
      <c r="O271" s="65" t="n"/>
      <c r="P271" s="64">
        <f>IF(OR(B271="",E271="Done",H271=""),"",H271+ROW()/10000000)</f>
        <v/>
      </c>
    </row>
    <row r="272">
      <c r="A272" s="58">
        <f>IF(B272="","","T-"&amp;TEXT(ROW()-5,"000"))</f>
        <v/>
      </c>
      <c r="B272" s="65" t="n"/>
      <c r="C272" s="51" t="n"/>
      <c r="D272" s="51" t="n"/>
      <c r="E272" s="51" t="n"/>
      <c r="F272" s="51" t="n"/>
      <c r="G272" s="60" t="n"/>
      <c r="H272" s="61" t="n"/>
      <c r="I272" s="60" t="n"/>
      <c r="J272" s="62" t="n"/>
      <c r="K272" s="52" t="n"/>
      <c r="L272" s="63">
        <f>IF(OR(B272="",H272="",E272="Done"),"",ROUNDDOWN(H272-NOW(),0))</f>
        <v/>
      </c>
      <c r="M272" s="58">
        <f>IF(B272="","",IF(E272="Done","Complete",IF(E272="Blocked","Blocked",IF(H272="","No due date",IF(H272&lt;NOW(),"Overdue",IF(H272-NOW()&lt;=3,"Due soon","On track"))))))</f>
        <v/>
      </c>
      <c r="N272" s="51" t="n"/>
      <c r="O272" s="65" t="n"/>
      <c r="P272" s="64">
        <f>IF(OR(B272="",E272="Done",H272=""),"",H272+ROW()/10000000)</f>
        <v/>
      </c>
    </row>
    <row r="273">
      <c r="A273" s="58">
        <f>IF(B273="","","T-"&amp;TEXT(ROW()-5,"000"))</f>
        <v/>
      </c>
      <c r="B273" s="65" t="n"/>
      <c r="C273" s="51" t="n"/>
      <c r="D273" s="51" t="n"/>
      <c r="E273" s="51" t="n"/>
      <c r="F273" s="51" t="n"/>
      <c r="G273" s="60" t="n"/>
      <c r="H273" s="61" t="n"/>
      <c r="I273" s="60" t="n"/>
      <c r="J273" s="62" t="n"/>
      <c r="K273" s="52" t="n"/>
      <c r="L273" s="63">
        <f>IF(OR(B273="",H273="",E273="Done"),"",ROUNDDOWN(H273-NOW(),0))</f>
        <v/>
      </c>
      <c r="M273" s="58">
        <f>IF(B273="","",IF(E273="Done","Complete",IF(E273="Blocked","Blocked",IF(H273="","No due date",IF(H273&lt;NOW(),"Overdue",IF(H273-NOW()&lt;=3,"Due soon","On track"))))))</f>
        <v/>
      </c>
      <c r="N273" s="51" t="n"/>
      <c r="O273" s="65" t="n"/>
      <c r="P273" s="64">
        <f>IF(OR(B273="",E273="Done",H273=""),"",H273+ROW()/10000000)</f>
        <v/>
      </c>
    </row>
    <row r="274">
      <c r="A274" s="58">
        <f>IF(B274="","","T-"&amp;TEXT(ROW()-5,"000"))</f>
        <v/>
      </c>
      <c r="B274" s="65" t="n"/>
      <c r="C274" s="51" t="n"/>
      <c r="D274" s="51" t="n"/>
      <c r="E274" s="51" t="n"/>
      <c r="F274" s="51" t="n"/>
      <c r="G274" s="60" t="n"/>
      <c r="H274" s="61" t="n"/>
      <c r="I274" s="60" t="n"/>
      <c r="J274" s="62" t="n"/>
      <c r="K274" s="52" t="n"/>
      <c r="L274" s="63">
        <f>IF(OR(B274="",H274="",E274="Done"),"",ROUNDDOWN(H274-NOW(),0))</f>
        <v/>
      </c>
      <c r="M274" s="58">
        <f>IF(B274="","",IF(E274="Done","Complete",IF(E274="Blocked","Blocked",IF(H274="","No due date",IF(H274&lt;NOW(),"Overdue",IF(H274-NOW()&lt;=3,"Due soon","On track"))))))</f>
        <v/>
      </c>
      <c r="N274" s="51" t="n"/>
      <c r="O274" s="65" t="n"/>
      <c r="P274" s="64">
        <f>IF(OR(B274="",E274="Done",H274=""),"",H274+ROW()/10000000)</f>
        <v/>
      </c>
    </row>
    <row r="275">
      <c r="A275" s="58">
        <f>IF(B275="","","T-"&amp;TEXT(ROW()-5,"000"))</f>
        <v/>
      </c>
      <c r="B275" s="65" t="n"/>
      <c r="C275" s="51" t="n"/>
      <c r="D275" s="51" t="n"/>
      <c r="E275" s="51" t="n"/>
      <c r="F275" s="51" t="n"/>
      <c r="G275" s="60" t="n"/>
      <c r="H275" s="61" t="n"/>
      <c r="I275" s="60" t="n"/>
      <c r="J275" s="62" t="n"/>
      <c r="K275" s="52" t="n"/>
      <c r="L275" s="63">
        <f>IF(OR(B275="",H275="",E275="Done"),"",ROUNDDOWN(H275-NOW(),0))</f>
        <v/>
      </c>
      <c r="M275" s="58">
        <f>IF(B275="","",IF(E275="Done","Complete",IF(E275="Blocked","Blocked",IF(H275="","No due date",IF(H275&lt;NOW(),"Overdue",IF(H275-NOW()&lt;=3,"Due soon","On track"))))))</f>
        <v/>
      </c>
      <c r="N275" s="51" t="n"/>
      <c r="O275" s="65" t="n"/>
      <c r="P275" s="64">
        <f>IF(OR(B275="",E275="Done",H275=""),"",H275+ROW()/10000000)</f>
        <v/>
      </c>
    </row>
    <row r="276">
      <c r="A276" s="58">
        <f>IF(B276="","","T-"&amp;TEXT(ROW()-5,"000"))</f>
        <v/>
      </c>
      <c r="B276" s="65" t="n"/>
      <c r="C276" s="51" t="n"/>
      <c r="D276" s="51" t="n"/>
      <c r="E276" s="51" t="n"/>
      <c r="F276" s="51" t="n"/>
      <c r="G276" s="60" t="n"/>
      <c r="H276" s="61" t="n"/>
      <c r="I276" s="60" t="n"/>
      <c r="J276" s="62" t="n"/>
      <c r="K276" s="52" t="n"/>
      <c r="L276" s="63">
        <f>IF(OR(B276="",H276="",E276="Done"),"",ROUNDDOWN(H276-NOW(),0))</f>
        <v/>
      </c>
      <c r="M276" s="58">
        <f>IF(B276="","",IF(E276="Done","Complete",IF(E276="Blocked","Blocked",IF(H276="","No due date",IF(H276&lt;NOW(),"Overdue",IF(H276-NOW()&lt;=3,"Due soon","On track"))))))</f>
        <v/>
      </c>
      <c r="N276" s="51" t="n"/>
      <c r="O276" s="65" t="n"/>
      <c r="P276" s="64">
        <f>IF(OR(B276="",E276="Done",H276=""),"",H276+ROW()/10000000)</f>
        <v/>
      </c>
    </row>
    <row r="277">
      <c r="A277" s="58">
        <f>IF(B277="","","T-"&amp;TEXT(ROW()-5,"000"))</f>
        <v/>
      </c>
      <c r="B277" s="65" t="n"/>
      <c r="C277" s="51" t="n"/>
      <c r="D277" s="51" t="n"/>
      <c r="E277" s="51" t="n"/>
      <c r="F277" s="51" t="n"/>
      <c r="G277" s="60" t="n"/>
      <c r="H277" s="61" t="n"/>
      <c r="I277" s="60" t="n"/>
      <c r="J277" s="62" t="n"/>
      <c r="K277" s="52" t="n"/>
      <c r="L277" s="63">
        <f>IF(OR(B277="",H277="",E277="Done"),"",ROUNDDOWN(H277-NOW(),0))</f>
        <v/>
      </c>
      <c r="M277" s="58">
        <f>IF(B277="","",IF(E277="Done","Complete",IF(E277="Blocked","Blocked",IF(H277="","No due date",IF(H277&lt;NOW(),"Overdue",IF(H277-NOW()&lt;=3,"Due soon","On track"))))))</f>
        <v/>
      </c>
      <c r="N277" s="51" t="n"/>
      <c r="O277" s="65" t="n"/>
      <c r="P277" s="64">
        <f>IF(OR(B277="",E277="Done",H277=""),"",H277+ROW()/10000000)</f>
        <v/>
      </c>
    </row>
    <row r="278">
      <c r="A278" s="58">
        <f>IF(B278="","","T-"&amp;TEXT(ROW()-5,"000"))</f>
        <v/>
      </c>
      <c r="B278" s="65" t="n"/>
      <c r="C278" s="51" t="n"/>
      <c r="D278" s="51" t="n"/>
      <c r="E278" s="51" t="n"/>
      <c r="F278" s="51" t="n"/>
      <c r="G278" s="60" t="n"/>
      <c r="H278" s="61" t="n"/>
      <c r="I278" s="60" t="n"/>
      <c r="J278" s="62" t="n"/>
      <c r="K278" s="52" t="n"/>
      <c r="L278" s="63">
        <f>IF(OR(B278="",H278="",E278="Done"),"",ROUNDDOWN(H278-NOW(),0))</f>
        <v/>
      </c>
      <c r="M278" s="58">
        <f>IF(B278="","",IF(E278="Done","Complete",IF(E278="Blocked","Blocked",IF(H278="","No due date",IF(H278&lt;NOW(),"Overdue",IF(H278-NOW()&lt;=3,"Due soon","On track"))))))</f>
        <v/>
      </c>
      <c r="N278" s="51" t="n"/>
      <c r="O278" s="65" t="n"/>
      <c r="P278" s="64">
        <f>IF(OR(B278="",E278="Done",H278=""),"",H278+ROW()/10000000)</f>
        <v/>
      </c>
    </row>
    <row r="279">
      <c r="A279" s="58">
        <f>IF(B279="","","T-"&amp;TEXT(ROW()-5,"000"))</f>
        <v/>
      </c>
      <c r="B279" s="65" t="n"/>
      <c r="C279" s="51" t="n"/>
      <c r="D279" s="51" t="n"/>
      <c r="E279" s="51" t="n"/>
      <c r="F279" s="51" t="n"/>
      <c r="G279" s="60" t="n"/>
      <c r="H279" s="61" t="n"/>
      <c r="I279" s="60" t="n"/>
      <c r="J279" s="62" t="n"/>
      <c r="K279" s="52" t="n"/>
      <c r="L279" s="63">
        <f>IF(OR(B279="",H279="",E279="Done"),"",ROUNDDOWN(H279-NOW(),0))</f>
        <v/>
      </c>
      <c r="M279" s="58">
        <f>IF(B279="","",IF(E279="Done","Complete",IF(E279="Blocked","Blocked",IF(H279="","No due date",IF(H279&lt;NOW(),"Overdue",IF(H279-NOW()&lt;=3,"Due soon","On track"))))))</f>
        <v/>
      </c>
      <c r="N279" s="51" t="n"/>
      <c r="O279" s="65" t="n"/>
      <c r="P279" s="64">
        <f>IF(OR(B279="",E279="Done",H279=""),"",H279+ROW()/10000000)</f>
        <v/>
      </c>
    </row>
    <row r="280">
      <c r="A280" s="58">
        <f>IF(B280="","","T-"&amp;TEXT(ROW()-5,"000"))</f>
        <v/>
      </c>
      <c r="B280" s="65" t="n"/>
      <c r="C280" s="51" t="n"/>
      <c r="D280" s="51" t="n"/>
      <c r="E280" s="51" t="n"/>
      <c r="F280" s="51" t="n"/>
      <c r="G280" s="60" t="n"/>
      <c r="H280" s="61" t="n"/>
      <c r="I280" s="60" t="n"/>
      <c r="J280" s="62" t="n"/>
      <c r="K280" s="52" t="n"/>
      <c r="L280" s="63">
        <f>IF(OR(B280="",H280="",E280="Done"),"",ROUNDDOWN(H280-NOW(),0))</f>
        <v/>
      </c>
      <c r="M280" s="58">
        <f>IF(B280="","",IF(E280="Done","Complete",IF(E280="Blocked","Blocked",IF(H280="","No due date",IF(H280&lt;NOW(),"Overdue",IF(H280-NOW()&lt;=3,"Due soon","On track"))))))</f>
        <v/>
      </c>
      <c r="N280" s="51" t="n"/>
      <c r="O280" s="65" t="n"/>
      <c r="P280" s="64">
        <f>IF(OR(B280="",E280="Done",H280=""),"",H280+ROW()/10000000)</f>
        <v/>
      </c>
    </row>
    <row r="281">
      <c r="A281" s="58">
        <f>IF(B281="","","T-"&amp;TEXT(ROW()-5,"000"))</f>
        <v/>
      </c>
      <c r="B281" s="65" t="n"/>
      <c r="C281" s="51" t="n"/>
      <c r="D281" s="51" t="n"/>
      <c r="E281" s="51" t="n"/>
      <c r="F281" s="51" t="n"/>
      <c r="G281" s="60" t="n"/>
      <c r="H281" s="61" t="n"/>
      <c r="I281" s="60" t="n"/>
      <c r="J281" s="62" t="n"/>
      <c r="K281" s="52" t="n"/>
      <c r="L281" s="63">
        <f>IF(OR(B281="",H281="",E281="Done"),"",ROUNDDOWN(H281-NOW(),0))</f>
        <v/>
      </c>
      <c r="M281" s="58">
        <f>IF(B281="","",IF(E281="Done","Complete",IF(E281="Blocked","Blocked",IF(H281="","No due date",IF(H281&lt;NOW(),"Overdue",IF(H281-NOW()&lt;=3,"Due soon","On track"))))))</f>
        <v/>
      </c>
      <c r="N281" s="51" t="n"/>
      <c r="O281" s="65" t="n"/>
      <c r="P281" s="64">
        <f>IF(OR(B281="",E281="Done",H281=""),"",H281+ROW()/10000000)</f>
        <v/>
      </c>
    </row>
    <row r="282">
      <c r="A282" s="58">
        <f>IF(B282="","","T-"&amp;TEXT(ROW()-5,"000"))</f>
        <v/>
      </c>
      <c r="B282" s="65" t="n"/>
      <c r="C282" s="51" t="n"/>
      <c r="D282" s="51" t="n"/>
      <c r="E282" s="51" t="n"/>
      <c r="F282" s="51" t="n"/>
      <c r="G282" s="60" t="n"/>
      <c r="H282" s="61" t="n"/>
      <c r="I282" s="60" t="n"/>
      <c r="J282" s="62" t="n"/>
      <c r="K282" s="52" t="n"/>
      <c r="L282" s="63">
        <f>IF(OR(B282="",H282="",E282="Done"),"",ROUNDDOWN(H282-NOW(),0))</f>
        <v/>
      </c>
      <c r="M282" s="58">
        <f>IF(B282="","",IF(E282="Done","Complete",IF(E282="Blocked","Blocked",IF(H282="","No due date",IF(H282&lt;NOW(),"Overdue",IF(H282-NOW()&lt;=3,"Due soon","On track"))))))</f>
        <v/>
      </c>
      <c r="N282" s="51" t="n"/>
      <c r="O282" s="65" t="n"/>
      <c r="P282" s="64">
        <f>IF(OR(B282="",E282="Done",H282=""),"",H282+ROW()/10000000)</f>
        <v/>
      </c>
    </row>
    <row r="283">
      <c r="A283" s="58">
        <f>IF(B283="","","T-"&amp;TEXT(ROW()-5,"000"))</f>
        <v/>
      </c>
      <c r="B283" s="65" t="n"/>
      <c r="C283" s="51" t="n"/>
      <c r="D283" s="51" t="n"/>
      <c r="E283" s="51" t="n"/>
      <c r="F283" s="51" t="n"/>
      <c r="G283" s="60" t="n"/>
      <c r="H283" s="61" t="n"/>
      <c r="I283" s="60" t="n"/>
      <c r="J283" s="62" t="n"/>
      <c r="K283" s="52" t="n"/>
      <c r="L283" s="63">
        <f>IF(OR(B283="",H283="",E283="Done"),"",ROUNDDOWN(H283-NOW(),0))</f>
        <v/>
      </c>
      <c r="M283" s="58">
        <f>IF(B283="","",IF(E283="Done","Complete",IF(E283="Blocked","Blocked",IF(H283="","No due date",IF(H283&lt;NOW(),"Overdue",IF(H283-NOW()&lt;=3,"Due soon","On track"))))))</f>
        <v/>
      </c>
      <c r="N283" s="51" t="n"/>
      <c r="O283" s="65" t="n"/>
      <c r="P283" s="64">
        <f>IF(OR(B283="",E283="Done",H283=""),"",H283+ROW()/10000000)</f>
        <v/>
      </c>
    </row>
    <row r="284">
      <c r="A284" s="58">
        <f>IF(B284="","","T-"&amp;TEXT(ROW()-5,"000"))</f>
        <v/>
      </c>
      <c r="B284" s="65" t="n"/>
      <c r="C284" s="51" t="n"/>
      <c r="D284" s="51" t="n"/>
      <c r="E284" s="51" t="n"/>
      <c r="F284" s="51" t="n"/>
      <c r="G284" s="60" t="n"/>
      <c r="H284" s="61" t="n"/>
      <c r="I284" s="60" t="n"/>
      <c r="J284" s="62" t="n"/>
      <c r="K284" s="52" t="n"/>
      <c r="L284" s="63">
        <f>IF(OR(B284="",H284="",E284="Done"),"",ROUNDDOWN(H284-NOW(),0))</f>
        <v/>
      </c>
      <c r="M284" s="58">
        <f>IF(B284="","",IF(E284="Done","Complete",IF(E284="Blocked","Blocked",IF(H284="","No due date",IF(H284&lt;NOW(),"Overdue",IF(H284-NOW()&lt;=3,"Due soon","On track"))))))</f>
        <v/>
      </c>
      <c r="N284" s="51" t="n"/>
      <c r="O284" s="65" t="n"/>
      <c r="P284" s="64">
        <f>IF(OR(B284="",E284="Done",H284=""),"",H284+ROW()/10000000)</f>
        <v/>
      </c>
    </row>
    <row r="285">
      <c r="A285" s="58">
        <f>IF(B285="","","T-"&amp;TEXT(ROW()-5,"000"))</f>
        <v/>
      </c>
      <c r="B285" s="65" t="n"/>
      <c r="C285" s="51" t="n"/>
      <c r="D285" s="51" t="n"/>
      <c r="E285" s="51" t="n"/>
      <c r="F285" s="51" t="n"/>
      <c r="G285" s="60" t="n"/>
      <c r="H285" s="61" t="n"/>
      <c r="I285" s="60" t="n"/>
      <c r="J285" s="62" t="n"/>
      <c r="K285" s="52" t="n"/>
      <c r="L285" s="63">
        <f>IF(OR(B285="",H285="",E285="Done"),"",ROUNDDOWN(H285-NOW(),0))</f>
        <v/>
      </c>
      <c r="M285" s="58">
        <f>IF(B285="","",IF(E285="Done","Complete",IF(E285="Blocked","Blocked",IF(H285="","No due date",IF(H285&lt;NOW(),"Overdue",IF(H285-NOW()&lt;=3,"Due soon","On track"))))))</f>
        <v/>
      </c>
      <c r="N285" s="51" t="n"/>
      <c r="O285" s="65" t="n"/>
      <c r="P285" s="64">
        <f>IF(OR(B285="",E285="Done",H285=""),"",H285+ROW()/10000000)</f>
        <v/>
      </c>
    </row>
    <row r="286">
      <c r="A286" s="58">
        <f>IF(B286="","","T-"&amp;TEXT(ROW()-5,"000"))</f>
        <v/>
      </c>
      <c r="B286" s="65" t="n"/>
      <c r="C286" s="51" t="n"/>
      <c r="D286" s="51" t="n"/>
      <c r="E286" s="51" t="n"/>
      <c r="F286" s="51" t="n"/>
      <c r="G286" s="60" t="n"/>
      <c r="H286" s="61" t="n"/>
      <c r="I286" s="60" t="n"/>
      <c r="J286" s="62" t="n"/>
      <c r="K286" s="52" t="n"/>
      <c r="L286" s="63">
        <f>IF(OR(B286="",H286="",E286="Done"),"",ROUNDDOWN(H286-NOW(),0))</f>
        <v/>
      </c>
      <c r="M286" s="58">
        <f>IF(B286="","",IF(E286="Done","Complete",IF(E286="Blocked","Blocked",IF(H286="","No due date",IF(H286&lt;NOW(),"Overdue",IF(H286-NOW()&lt;=3,"Due soon","On track"))))))</f>
        <v/>
      </c>
      <c r="N286" s="51" t="n"/>
      <c r="O286" s="65" t="n"/>
      <c r="P286" s="64">
        <f>IF(OR(B286="",E286="Done",H286=""),"",H286+ROW()/10000000)</f>
        <v/>
      </c>
    </row>
    <row r="287">
      <c r="A287" s="58">
        <f>IF(B287="","","T-"&amp;TEXT(ROW()-5,"000"))</f>
        <v/>
      </c>
      <c r="B287" s="65" t="n"/>
      <c r="C287" s="51" t="n"/>
      <c r="D287" s="51" t="n"/>
      <c r="E287" s="51" t="n"/>
      <c r="F287" s="51" t="n"/>
      <c r="G287" s="60" t="n"/>
      <c r="H287" s="61" t="n"/>
      <c r="I287" s="60" t="n"/>
      <c r="J287" s="62" t="n"/>
      <c r="K287" s="52" t="n"/>
      <c r="L287" s="63">
        <f>IF(OR(B287="",H287="",E287="Done"),"",ROUNDDOWN(H287-NOW(),0))</f>
        <v/>
      </c>
      <c r="M287" s="58">
        <f>IF(B287="","",IF(E287="Done","Complete",IF(E287="Blocked","Blocked",IF(H287="","No due date",IF(H287&lt;NOW(),"Overdue",IF(H287-NOW()&lt;=3,"Due soon","On track"))))))</f>
        <v/>
      </c>
      <c r="N287" s="51" t="n"/>
      <c r="O287" s="65" t="n"/>
      <c r="P287" s="64">
        <f>IF(OR(B287="",E287="Done",H287=""),"",H287+ROW()/10000000)</f>
        <v/>
      </c>
    </row>
    <row r="288">
      <c r="A288" s="58">
        <f>IF(B288="","","T-"&amp;TEXT(ROW()-5,"000"))</f>
        <v/>
      </c>
      <c r="B288" s="65" t="n"/>
      <c r="C288" s="51" t="n"/>
      <c r="D288" s="51" t="n"/>
      <c r="E288" s="51" t="n"/>
      <c r="F288" s="51" t="n"/>
      <c r="G288" s="60" t="n"/>
      <c r="H288" s="61" t="n"/>
      <c r="I288" s="60" t="n"/>
      <c r="J288" s="62" t="n"/>
      <c r="K288" s="52" t="n"/>
      <c r="L288" s="63">
        <f>IF(OR(B288="",H288="",E288="Done"),"",ROUNDDOWN(H288-NOW(),0))</f>
        <v/>
      </c>
      <c r="M288" s="58">
        <f>IF(B288="","",IF(E288="Done","Complete",IF(E288="Blocked","Blocked",IF(H288="","No due date",IF(H288&lt;NOW(),"Overdue",IF(H288-NOW()&lt;=3,"Due soon","On track"))))))</f>
        <v/>
      </c>
      <c r="N288" s="51" t="n"/>
      <c r="O288" s="65" t="n"/>
      <c r="P288" s="64">
        <f>IF(OR(B288="",E288="Done",H288=""),"",H288+ROW()/10000000)</f>
        <v/>
      </c>
    </row>
    <row r="289">
      <c r="A289" s="58">
        <f>IF(B289="","","T-"&amp;TEXT(ROW()-5,"000"))</f>
        <v/>
      </c>
      <c r="B289" s="65" t="n"/>
      <c r="C289" s="51" t="n"/>
      <c r="D289" s="51" t="n"/>
      <c r="E289" s="51" t="n"/>
      <c r="F289" s="51" t="n"/>
      <c r="G289" s="60" t="n"/>
      <c r="H289" s="61" t="n"/>
      <c r="I289" s="60" t="n"/>
      <c r="J289" s="62" t="n"/>
      <c r="K289" s="52" t="n"/>
      <c r="L289" s="63">
        <f>IF(OR(B289="",H289="",E289="Done"),"",ROUNDDOWN(H289-NOW(),0))</f>
        <v/>
      </c>
      <c r="M289" s="58">
        <f>IF(B289="","",IF(E289="Done","Complete",IF(E289="Blocked","Blocked",IF(H289="","No due date",IF(H289&lt;NOW(),"Overdue",IF(H289-NOW()&lt;=3,"Due soon","On track"))))))</f>
        <v/>
      </c>
      <c r="N289" s="51" t="n"/>
      <c r="O289" s="65" t="n"/>
      <c r="P289" s="64">
        <f>IF(OR(B289="",E289="Done",H289=""),"",H289+ROW()/10000000)</f>
        <v/>
      </c>
    </row>
    <row r="290">
      <c r="A290" s="58">
        <f>IF(B290="","","T-"&amp;TEXT(ROW()-5,"000"))</f>
        <v/>
      </c>
      <c r="B290" s="65" t="n"/>
      <c r="C290" s="51" t="n"/>
      <c r="D290" s="51" t="n"/>
      <c r="E290" s="51" t="n"/>
      <c r="F290" s="51" t="n"/>
      <c r="G290" s="60" t="n"/>
      <c r="H290" s="61" t="n"/>
      <c r="I290" s="60" t="n"/>
      <c r="J290" s="62" t="n"/>
      <c r="K290" s="52" t="n"/>
      <c r="L290" s="63">
        <f>IF(OR(B290="",H290="",E290="Done"),"",ROUNDDOWN(H290-NOW(),0))</f>
        <v/>
      </c>
      <c r="M290" s="58">
        <f>IF(B290="","",IF(E290="Done","Complete",IF(E290="Blocked","Blocked",IF(H290="","No due date",IF(H290&lt;NOW(),"Overdue",IF(H290-NOW()&lt;=3,"Due soon","On track"))))))</f>
        <v/>
      </c>
      <c r="N290" s="51" t="n"/>
      <c r="O290" s="65" t="n"/>
      <c r="P290" s="64">
        <f>IF(OR(B290="",E290="Done",H290=""),"",H290+ROW()/10000000)</f>
        <v/>
      </c>
    </row>
    <row r="291">
      <c r="A291" s="58">
        <f>IF(B291="","","T-"&amp;TEXT(ROW()-5,"000"))</f>
        <v/>
      </c>
      <c r="B291" s="65" t="n"/>
      <c r="C291" s="51" t="n"/>
      <c r="D291" s="51" t="n"/>
      <c r="E291" s="51" t="n"/>
      <c r="F291" s="51" t="n"/>
      <c r="G291" s="60" t="n"/>
      <c r="H291" s="61" t="n"/>
      <c r="I291" s="60" t="n"/>
      <c r="J291" s="62" t="n"/>
      <c r="K291" s="52" t="n"/>
      <c r="L291" s="63">
        <f>IF(OR(B291="",H291="",E291="Done"),"",ROUNDDOWN(H291-NOW(),0))</f>
        <v/>
      </c>
      <c r="M291" s="58">
        <f>IF(B291="","",IF(E291="Done","Complete",IF(E291="Blocked","Blocked",IF(H291="","No due date",IF(H291&lt;NOW(),"Overdue",IF(H291-NOW()&lt;=3,"Due soon","On track"))))))</f>
        <v/>
      </c>
      <c r="N291" s="51" t="n"/>
      <c r="O291" s="65" t="n"/>
      <c r="P291" s="64">
        <f>IF(OR(B291="",E291="Done",H291=""),"",H291+ROW()/10000000)</f>
        <v/>
      </c>
    </row>
    <row r="292">
      <c r="A292" s="58">
        <f>IF(B292="","","T-"&amp;TEXT(ROW()-5,"000"))</f>
        <v/>
      </c>
      <c r="B292" s="65" t="n"/>
      <c r="C292" s="51" t="n"/>
      <c r="D292" s="51" t="n"/>
      <c r="E292" s="51" t="n"/>
      <c r="F292" s="51" t="n"/>
      <c r="G292" s="60" t="n"/>
      <c r="H292" s="61" t="n"/>
      <c r="I292" s="60" t="n"/>
      <c r="J292" s="62" t="n"/>
      <c r="K292" s="52" t="n"/>
      <c r="L292" s="63">
        <f>IF(OR(B292="",H292="",E292="Done"),"",ROUNDDOWN(H292-NOW(),0))</f>
        <v/>
      </c>
      <c r="M292" s="58">
        <f>IF(B292="","",IF(E292="Done","Complete",IF(E292="Blocked","Blocked",IF(H292="","No due date",IF(H292&lt;NOW(),"Overdue",IF(H292-NOW()&lt;=3,"Due soon","On track"))))))</f>
        <v/>
      </c>
      <c r="N292" s="51" t="n"/>
      <c r="O292" s="65" t="n"/>
      <c r="P292" s="64">
        <f>IF(OR(B292="",E292="Done",H292=""),"",H292+ROW()/10000000)</f>
        <v/>
      </c>
    </row>
    <row r="293">
      <c r="A293" s="58">
        <f>IF(B293="","","T-"&amp;TEXT(ROW()-5,"000"))</f>
        <v/>
      </c>
      <c r="B293" s="65" t="n"/>
      <c r="C293" s="51" t="n"/>
      <c r="D293" s="51" t="n"/>
      <c r="E293" s="51" t="n"/>
      <c r="F293" s="51" t="n"/>
      <c r="G293" s="60" t="n"/>
      <c r="H293" s="61" t="n"/>
      <c r="I293" s="60" t="n"/>
      <c r="J293" s="62" t="n"/>
      <c r="K293" s="52" t="n"/>
      <c r="L293" s="63">
        <f>IF(OR(B293="",H293="",E293="Done"),"",ROUNDDOWN(H293-NOW(),0))</f>
        <v/>
      </c>
      <c r="M293" s="58">
        <f>IF(B293="","",IF(E293="Done","Complete",IF(E293="Blocked","Blocked",IF(H293="","No due date",IF(H293&lt;NOW(),"Overdue",IF(H293-NOW()&lt;=3,"Due soon","On track"))))))</f>
        <v/>
      </c>
      <c r="N293" s="51" t="n"/>
      <c r="O293" s="65" t="n"/>
      <c r="P293" s="64">
        <f>IF(OR(B293="",E293="Done",H293=""),"",H293+ROW()/10000000)</f>
        <v/>
      </c>
    </row>
    <row r="294">
      <c r="A294" s="58">
        <f>IF(B294="","","T-"&amp;TEXT(ROW()-5,"000"))</f>
        <v/>
      </c>
      <c r="B294" s="65" t="n"/>
      <c r="C294" s="51" t="n"/>
      <c r="D294" s="51" t="n"/>
      <c r="E294" s="51" t="n"/>
      <c r="F294" s="51" t="n"/>
      <c r="G294" s="60" t="n"/>
      <c r="H294" s="61" t="n"/>
      <c r="I294" s="60" t="n"/>
      <c r="J294" s="62" t="n"/>
      <c r="K294" s="52" t="n"/>
      <c r="L294" s="63">
        <f>IF(OR(B294="",H294="",E294="Done"),"",ROUNDDOWN(H294-NOW(),0))</f>
        <v/>
      </c>
      <c r="M294" s="58">
        <f>IF(B294="","",IF(E294="Done","Complete",IF(E294="Blocked","Blocked",IF(H294="","No due date",IF(H294&lt;NOW(),"Overdue",IF(H294-NOW()&lt;=3,"Due soon","On track"))))))</f>
        <v/>
      </c>
      <c r="N294" s="51" t="n"/>
      <c r="O294" s="65" t="n"/>
      <c r="P294" s="64">
        <f>IF(OR(B294="",E294="Done",H294=""),"",H294+ROW()/10000000)</f>
        <v/>
      </c>
    </row>
    <row r="295">
      <c r="A295" s="58">
        <f>IF(B295="","","T-"&amp;TEXT(ROW()-5,"000"))</f>
        <v/>
      </c>
      <c r="B295" s="65" t="n"/>
      <c r="C295" s="51" t="n"/>
      <c r="D295" s="51" t="n"/>
      <c r="E295" s="51" t="n"/>
      <c r="F295" s="51" t="n"/>
      <c r="G295" s="60" t="n"/>
      <c r="H295" s="61" t="n"/>
      <c r="I295" s="60" t="n"/>
      <c r="J295" s="62" t="n"/>
      <c r="K295" s="52" t="n"/>
      <c r="L295" s="63">
        <f>IF(OR(B295="",H295="",E295="Done"),"",ROUNDDOWN(H295-NOW(),0))</f>
        <v/>
      </c>
      <c r="M295" s="58">
        <f>IF(B295="","",IF(E295="Done","Complete",IF(E295="Blocked","Blocked",IF(H295="","No due date",IF(H295&lt;NOW(),"Overdue",IF(H295-NOW()&lt;=3,"Due soon","On track"))))))</f>
        <v/>
      </c>
      <c r="N295" s="51" t="n"/>
      <c r="O295" s="65" t="n"/>
      <c r="P295" s="64">
        <f>IF(OR(B295="",E295="Done",H295=""),"",H295+ROW()/10000000)</f>
        <v/>
      </c>
    </row>
    <row r="296">
      <c r="A296" s="58">
        <f>IF(B296="","","T-"&amp;TEXT(ROW()-5,"000"))</f>
        <v/>
      </c>
      <c r="B296" s="65" t="n"/>
      <c r="C296" s="51" t="n"/>
      <c r="D296" s="51" t="n"/>
      <c r="E296" s="51" t="n"/>
      <c r="F296" s="51" t="n"/>
      <c r="G296" s="60" t="n"/>
      <c r="H296" s="61" t="n"/>
      <c r="I296" s="60" t="n"/>
      <c r="J296" s="62" t="n"/>
      <c r="K296" s="52" t="n"/>
      <c r="L296" s="63">
        <f>IF(OR(B296="",H296="",E296="Done"),"",ROUNDDOWN(H296-NOW(),0))</f>
        <v/>
      </c>
      <c r="M296" s="58">
        <f>IF(B296="","",IF(E296="Done","Complete",IF(E296="Blocked","Blocked",IF(H296="","No due date",IF(H296&lt;NOW(),"Overdue",IF(H296-NOW()&lt;=3,"Due soon","On track"))))))</f>
        <v/>
      </c>
      <c r="N296" s="51" t="n"/>
      <c r="O296" s="65" t="n"/>
      <c r="P296" s="64">
        <f>IF(OR(B296="",E296="Done",H296=""),"",H296+ROW()/10000000)</f>
        <v/>
      </c>
    </row>
    <row r="297">
      <c r="A297" s="58">
        <f>IF(B297="","","T-"&amp;TEXT(ROW()-5,"000"))</f>
        <v/>
      </c>
      <c r="B297" s="65" t="n"/>
      <c r="C297" s="51" t="n"/>
      <c r="D297" s="51" t="n"/>
      <c r="E297" s="51" t="n"/>
      <c r="F297" s="51" t="n"/>
      <c r="G297" s="60" t="n"/>
      <c r="H297" s="61" t="n"/>
      <c r="I297" s="60" t="n"/>
      <c r="J297" s="62" t="n"/>
      <c r="K297" s="52" t="n"/>
      <c r="L297" s="63">
        <f>IF(OR(B297="",H297="",E297="Done"),"",ROUNDDOWN(H297-NOW(),0))</f>
        <v/>
      </c>
      <c r="M297" s="58">
        <f>IF(B297="","",IF(E297="Done","Complete",IF(E297="Blocked","Blocked",IF(H297="","No due date",IF(H297&lt;NOW(),"Overdue",IF(H297-NOW()&lt;=3,"Due soon","On track"))))))</f>
        <v/>
      </c>
      <c r="N297" s="51" t="n"/>
      <c r="O297" s="65" t="n"/>
      <c r="P297" s="64">
        <f>IF(OR(B297="",E297="Done",H297=""),"",H297+ROW()/10000000)</f>
        <v/>
      </c>
    </row>
    <row r="298">
      <c r="A298" s="58">
        <f>IF(B298="","","T-"&amp;TEXT(ROW()-5,"000"))</f>
        <v/>
      </c>
      <c r="B298" s="65" t="n"/>
      <c r="C298" s="51" t="n"/>
      <c r="D298" s="51" t="n"/>
      <c r="E298" s="51" t="n"/>
      <c r="F298" s="51" t="n"/>
      <c r="G298" s="60" t="n"/>
      <c r="H298" s="61" t="n"/>
      <c r="I298" s="60" t="n"/>
      <c r="J298" s="62" t="n"/>
      <c r="K298" s="52" t="n"/>
      <c r="L298" s="63">
        <f>IF(OR(B298="",H298="",E298="Done"),"",ROUNDDOWN(H298-NOW(),0))</f>
        <v/>
      </c>
      <c r="M298" s="58">
        <f>IF(B298="","",IF(E298="Done","Complete",IF(E298="Blocked","Blocked",IF(H298="","No due date",IF(H298&lt;NOW(),"Overdue",IF(H298-NOW()&lt;=3,"Due soon","On track"))))))</f>
        <v/>
      </c>
      <c r="N298" s="51" t="n"/>
      <c r="O298" s="65" t="n"/>
      <c r="P298" s="64">
        <f>IF(OR(B298="",E298="Done",H298=""),"",H298+ROW()/10000000)</f>
        <v/>
      </c>
    </row>
    <row r="299">
      <c r="A299" s="58">
        <f>IF(B299="","","T-"&amp;TEXT(ROW()-5,"000"))</f>
        <v/>
      </c>
      <c r="B299" s="65" t="n"/>
      <c r="C299" s="51" t="n"/>
      <c r="D299" s="51" t="n"/>
      <c r="E299" s="51" t="n"/>
      <c r="F299" s="51" t="n"/>
      <c r="G299" s="60" t="n"/>
      <c r="H299" s="61" t="n"/>
      <c r="I299" s="60" t="n"/>
      <c r="J299" s="62" t="n"/>
      <c r="K299" s="52" t="n"/>
      <c r="L299" s="63">
        <f>IF(OR(B299="",H299="",E299="Done"),"",ROUNDDOWN(H299-NOW(),0))</f>
        <v/>
      </c>
      <c r="M299" s="58">
        <f>IF(B299="","",IF(E299="Done","Complete",IF(E299="Blocked","Blocked",IF(H299="","No due date",IF(H299&lt;NOW(),"Overdue",IF(H299-NOW()&lt;=3,"Due soon","On track"))))))</f>
        <v/>
      </c>
      <c r="N299" s="51" t="n"/>
      <c r="O299" s="65" t="n"/>
      <c r="P299" s="64">
        <f>IF(OR(B299="",E299="Done",H299=""),"",H299+ROW()/10000000)</f>
        <v/>
      </c>
    </row>
    <row r="300">
      <c r="A300" s="58">
        <f>IF(B300="","","T-"&amp;TEXT(ROW()-5,"000"))</f>
        <v/>
      </c>
      <c r="B300" s="65" t="n"/>
      <c r="C300" s="51" t="n"/>
      <c r="D300" s="51" t="n"/>
      <c r="E300" s="51" t="n"/>
      <c r="F300" s="51" t="n"/>
      <c r="G300" s="60" t="n"/>
      <c r="H300" s="61" t="n"/>
      <c r="I300" s="60" t="n"/>
      <c r="J300" s="62" t="n"/>
      <c r="K300" s="52" t="n"/>
      <c r="L300" s="63">
        <f>IF(OR(B300="",H300="",E300="Done"),"",ROUNDDOWN(H300-NOW(),0))</f>
        <v/>
      </c>
      <c r="M300" s="58">
        <f>IF(B300="","",IF(E300="Done","Complete",IF(E300="Blocked","Blocked",IF(H300="","No due date",IF(H300&lt;NOW(),"Overdue",IF(H300-NOW()&lt;=3,"Due soon","On track"))))))</f>
        <v/>
      </c>
      <c r="N300" s="51" t="n"/>
      <c r="O300" s="65" t="n"/>
      <c r="P300" s="64">
        <f>IF(OR(B300="",E300="Done",H300=""),"",H300+ROW()/10000000)</f>
        <v/>
      </c>
    </row>
    <row r="301">
      <c r="A301" s="58">
        <f>IF(B301="","","T-"&amp;TEXT(ROW()-5,"000"))</f>
        <v/>
      </c>
      <c r="B301" s="65" t="n"/>
      <c r="C301" s="51" t="n"/>
      <c r="D301" s="51" t="n"/>
      <c r="E301" s="51" t="n"/>
      <c r="F301" s="51" t="n"/>
      <c r="G301" s="60" t="n"/>
      <c r="H301" s="61" t="n"/>
      <c r="I301" s="60" t="n"/>
      <c r="J301" s="62" t="n"/>
      <c r="K301" s="52" t="n"/>
      <c r="L301" s="63">
        <f>IF(OR(B301="",H301="",E301="Done"),"",ROUNDDOWN(H301-NOW(),0))</f>
        <v/>
      </c>
      <c r="M301" s="58">
        <f>IF(B301="","",IF(E301="Done","Complete",IF(E301="Blocked","Blocked",IF(H301="","No due date",IF(H301&lt;NOW(),"Overdue",IF(H301-NOW()&lt;=3,"Due soon","On track"))))))</f>
        <v/>
      </c>
      <c r="N301" s="51" t="n"/>
      <c r="O301" s="65" t="n"/>
      <c r="P301" s="64">
        <f>IF(OR(B301="",E301="Done",H301=""),"",H301+ROW()/10000000)</f>
        <v/>
      </c>
    </row>
    <row r="302">
      <c r="A302" s="58">
        <f>IF(B302="","","T-"&amp;TEXT(ROW()-5,"000"))</f>
        <v/>
      </c>
      <c r="B302" s="65" t="n"/>
      <c r="C302" s="51" t="n"/>
      <c r="D302" s="51" t="n"/>
      <c r="E302" s="51" t="n"/>
      <c r="F302" s="51" t="n"/>
      <c r="G302" s="60" t="n"/>
      <c r="H302" s="61" t="n"/>
      <c r="I302" s="60" t="n"/>
      <c r="J302" s="62" t="n"/>
      <c r="K302" s="52" t="n"/>
      <c r="L302" s="63">
        <f>IF(OR(B302="",H302="",E302="Done"),"",ROUNDDOWN(H302-NOW(),0))</f>
        <v/>
      </c>
      <c r="M302" s="58">
        <f>IF(B302="","",IF(E302="Done","Complete",IF(E302="Blocked","Blocked",IF(H302="","No due date",IF(H302&lt;NOW(),"Overdue",IF(H302-NOW()&lt;=3,"Due soon","On track"))))))</f>
        <v/>
      </c>
      <c r="N302" s="51" t="n"/>
      <c r="O302" s="65" t="n"/>
      <c r="P302" s="64">
        <f>IF(OR(B302="",E302="Done",H302=""),"",H302+ROW()/10000000)</f>
        <v/>
      </c>
    </row>
    <row r="303">
      <c r="A303" s="58">
        <f>IF(B303="","","T-"&amp;TEXT(ROW()-5,"000"))</f>
        <v/>
      </c>
      <c r="B303" s="65" t="n"/>
      <c r="C303" s="51" t="n"/>
      <c r="D303" s="51" t="n"/>
      <c r="E303" s="51" t="n"/>
      <c r="F303" s="51" t="n"/>
      <c r="G303" s="60" t="n"/>
      <c r="H303" s="61" t="n"/>
      <c r="I303" s="60" t="n"/>
      <c r="J303" s="62" t="n"/>
      <c r="K303" s="52" t="n"/>
      <c r="L303" s="63">
        <f>IF(OR(B303="",H303="",E303="Done"),"",ROUNDDOWN(H303-NOW(),0))</f>
        <v/>
      </c>
      <c r="M303" s="58">
        <f>IF(B303="","",IF(E303="Done","Complete",IF(E303="Blocked","Blocked",IF(H303="","No due date",IF(H303&lt;NOW(),"Overdue",IF(H303-NOW()&lt;=3,"Due soon","On track"))))))</f>
        <v/>
      </c>
      <c r="N303" s="51" t="n"/>
      <c r="O303" s="65" t="n"/>
      <c r="P303" s="64">
        <f>IF(OR(B303="",E303="Done",H303=""),"",H303+ROW()/10000000)</f>
        <v/>
      </c>
    </row>
    <row r="304">
      <c r="A304" s="58">
        <f>IF(B304="","","T-"&amp;TEXT(ROW()-5,"000"))</f>
        <v/>
      </c>
      <c r="B304" s="65" t="n"/>
      <c r="C304" s="51" t="n"/>
      <c r="D304" s="51" t="n"/>
      <c r="E304" s="51" t="n"/>
      <c r="F304" s="51" t="n"/>
      <c r="G304" s="60" t="n"/>
      <c r="H304" s="61" t="n"/>
      <c r="I304" s="60" t="n"/>
      <c r="J304" s="62" t="n"/>
      <c r="K304" s="52" t="n"/>
      <c r="L304" s="63">
        <f>IF(OR(B304="",H304="",E304="Done"),"",ROUNDDOWN(H304-NOW(),0))</f>
        <v/>
      </c>
      <c r="M304" s="58">
        <f>IF(B304="","",IF(E304="Done","Complete",IF(E304="Blocked","Blocked",IF(H304="","No due date",IF(H304&lt;NOW(),"Overdue",IF(H304-NOW()&lt;=3,"Due soon","On track"))))))</f>
        <v/>
      </c>
      <c r="N304" s="51" t="n"/>
      <c r="O304" s="65" t="n"/>
      <c r="P304" s="64">
        <f>IF(OR(B304="",E304="Done",H304=""),"",H304+ROW()/10000000)</f>
        <v/>
      </c>
    </row>
    <row r="305">
      <c r="A305" s="58">
        <f>IF(B305="","","T-"&amp;TEXT(ROW()-5,"000"))</f>
        <v/>
      </c>
      <c r="B305" s="65" t="n"/>
      <c r="C305" s="51" t="n"/>
      <c r="D305" s="51" t="n"/>
      <c r="E305" s="51" t="n"/>
      <c r="F305" s="51" t="n"/>
      <c r="G305" s="60" t="n"/>
      <c r="H305" s="61" t="n"/>
      <c r="I305" s="60" t="n"/>
      <c r="J305" s="62" t="n"/>
      <c r="K305" s="52" t="n"/>
      <c r="L305" s="63">
        <f>IF(OR(B305="",H305="",E305="Done"),"",ROUNDDOWN(H305-NOW(),0))</f>
        <v/>
      </c>
      <c r="M305" s="58">
        <f>IF(B305="","",IF(E305="Done","Complete",IF(E305="Blocked","Blocked",IF(H305="","No due date",IF(H305&lt;NOW(),"Overdue",IF(H305-NOW()&lt;=3,"Due soon","On track"))))))</f>
        <v/>
      </c>
      <c r="N305" s="51" t="n"/>
      <c r="O305" s="65" t="n"/>
      <c r="P305" s="64">
        <f>IF(OR(B305="",E305="Done",H305=""),"",H305+ROW()/10000000)</f>
        <v/>
      </c>
    </row>
  </sheetData>
  <autoFilter ref="A5:O305"/>
  <conditionalFormatting sqref="E6:E305">
    <cfRule type="cellIs" priority="1" operator="equal" dxfId="6">
      <formula>"Not started"</formula>
    </cfRule>
    <cfRule type="cellIs" priority="2" operator="equal" dxfId="7">
      <formula>"In progress"</formula>
    </cfRule>
    <cfRule type="cellIs" priority="3" operator="equal" dxfId="8">
      <formula>"In review"</formula>
    </cfRule>
    <cfRule type="cellIs" priority="4" operator="equal" dxfId="9">
      <formula>"Blocked"</formula>
    </cfRule>
    <cfRule type="cellIs" priority="5" operator="equal" dxfId="10">
      <formula>"Done"</formula>
    </cfRule>
  </conditionalFormatting>
  <conditionalFormatting sqref="K6:K305">
    <cfRule type="dataBar" priority="6">
      <dataBar>
        <cfvo type="num" val="0"/>
        <cfvo type="num" val="1"/>
        <color rgb="0012B76A"/>
      </dataBar>
    </cfRule>
  </conditionalFormatting>
  <conditionalFormatting sqref="M6:M305">
    <cfRule type="cellIs" priority="7" operator="equal" dxfId="12">
      <formula>"Overdue"</formula>
    </cfRule>
    <cfRule type="cellIs" priority="8" operator="equal" dxfId="13">
      <formula>"Due soon"</formula>
    </cfRule>
    <cfRule type="cellIs" priority="9" operator="equal" dxfId="12">
      <formula>"Blocked"</formula>
    </cfRule>
    <cfRule type="cellIs" priority="10" operator="equal" dxfId="14">
      <formula>"On track"</formula>
    </cfRule>
    <cfRule type="cellIs" priority="11" operator="equal" dxfId="15">
      <formula>"Complete"</formula>
    </cfRule>
  </conditionalFormatting>
  <conditionalFormatting sqref="F6:F305">
    <cfRule type="cellIs" priority="12" operator="equal" dxfId="4">
      <formula>"Critical"</formula>
    </cfRule>
  </conditionalFormatting>
  <conditionalFormatting sqref="B6:B305">
    <cfRule type="expression" priority="13" dxfId="16">
      <formula>$E6="Done"</formula>
    </cfRule>
  </conditionalFormatting>
  <dataValidations count="5">
    <dataValidation sqref="C6:C305" showDropDown="0" showInputMessage="1" showErrorMessage="1" allowBlank="1" errorTitle="Not in the list" error="Pick a value from the drop-down (lists are on the Settings sheet)." promptTitle="Tip" prompt="Milestones come from the Milestones sheet." type="list">
      <formula1>=Milestones</formula1>
    </dataValidation>
    <dataValidation sqref="D6:D305" showDropDown="0" showInputMessage="1" showErrorMessage="1" allowBlank="1" errorTitle="Not in the list" error="Pick a value from the drop-down (lists are on the Settings sheet)." promptTitle="Tip" prompt="Names come from Settings → Team members." type="list">
      <formula1>=Members</formula1>
    </dataValidation>
    <dataValidation sqref="E6:E305" showDropDown="0" showInputMessage="0" showErrorMessage="1" allowBlank="1" errorTitle="Not in the list" error="Pick a value from the drop-down (lists are on the Settings sheet)." type="list">
      <formula1>=Statuses</formula1>
    </dataValidation>
    <dataValidation sqref="F6:F305" showDropDown="0" showInputMessage="0" showErrorMessage="1" allowBlank="1" errorTitle="Not in the list" error="Pick a value from the drop-down (lists are on the Settings sheet)." type="list">
      <formula1>=Priorities</formula1>
    </dataValidation>
    <dataValidation sqref="K6:K305" showDropDown="0" showInputMessage="1" showErrorMessage="1" allowBlank="1" errorTitle="Not in the list" error="Pick a value from the drop-down (lists are on the Settings sheet)." promptTitle="Tip" prompt="0%, 25%, 50%, 75% or 100%." type="list">
      <formula1>=ProgressVals</formula1>
    </dataValidation>
  </dataValidations>
  <hyperlinks>
    <hyperlink xmlns:r="http://schemas.openxmlformats.org/officeDocument/2006/relationships" ref="A3" r:id="rId1"/>
  </hyperlink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0A2A5C"/>
    <outlinePr summaryBelow="1" summaryRight="1"/>
    <pageSetUpPr fitToPage="1"/>
  </sheetPr>
  <dimension ref="A1:I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4" customWidth="1" min="3" max="3"/>
    <col width="18" customWidth="1" min="4" max="4"/>
    <col width="8" customWidth="1" min="5" max="5"/>
    <col width="8" customWidth="1" min="6" max="6"/>
    <col width="10" customWidth="1" min="7" max="7"/>
    <col width="14" customWidth="1" min="8" max="8"/>
    <col width="40" customWidth="1" min="9" max="9"/>
  </cols>
  <sheetData>
    <row r="1" ht="30" customHeight="1">
      <c r="A1" s="47" t="inlineStr">
        <is>
          <t>Milestones</t>
        </is>
      </c>
    </row>
    <row r="2">
      <c r="A2" s="3" t="inlineStr">
        <is>
          <t>Big checkpoints or phases. Tasks are linked to a milestone with the Milestone column on the Tasks sheet.</t>
        </is>
      </c>
    </row>
    <row r="3">
      <c r="A3" s="48" t="inlineStr">
        <is>
          <t>← Back to Start Here</t>
        </is>
      </c>
    </row>
    <row r="5" ht="32" customHeight="1">
      <c r="A5" s="50" t="inlineStr">
        <is>
          <t>#</t>
        </is>
      </c>
      <c r="B5" s="50" t="inlineStr">
        <is>
          <t>Milestone</t>
        </is>
      </c>
      <c r="C5" s="50" t="inlineStr">
        <is>
          <t>Target date</t>
        </is>
      </c>
      <c r="D5" s="50" t="inlineStr">
        <is>
          <t>Owner</t>
        </is>
      </c>
      <c r="E5" s="50" t="inlineStr">
        <is>
          <t>Tasks</t>
        </is>
      </c>
      <c r="F5" s="50" t="inlineStr">
        <is>
          <t>Done</t>
        </is>
      </c>
      <c r="G5" s="50" t="inlineStr">
        <is>
          <t>% done</t>
        </is>
      </c>
      <c r="H5" s="50" t="inlineStr">
        <is>
          <t>Status</t>
        </is>
      </c>
      <c r="I5" s="50" t="inlineStr">
        <is>
          <t>Notes</t>
        </is>
      </c>
    </row>
    <row r="6">
      <c r="A6" s="58">
        <f>IF(B6="","",ROW()-5)</f>
        <v/>
      </c>
      <c r="B6" s="65" t="inlineStr">
        <is>
          <t>Planning</t>
        </is>
      </c>
      <c r="C6" s="61" t="n">
        <v>46311.70833333334</v>
      </c>
      <c r="D6" s="51" t="n"/>
      <c r="E6" s="58">
        <f>IF(B6="","",COUNTIF(Tasks!$C$6:$C$305,B6))</f>
        <v/>
      </c>
      <c r="F6" s="58">
        <f>IF(B6="","",COUNTIFS(Tasks!$C$6:$C$305,B6,Tasks!$E$6:$E$305,"Done"))</f>
        <v/>
      </c>
      <c r="G6" s="66">
        <f>IF(OR(B6="",E6=0),"",F6/E6)</f>
        <v/>
      </c>
      <c r="H6" s="58">
        <f>IF(B6="","",IF(AND(E6&gt;0,F6=E6),"Complete",IF(C6="","Planned",IF(C6&lt;NOW(),"Late","On track"))))</f>
        <v/>
      </c>
      <c r="I6" s="65" t="inlineStr">
        <is>
          <t>Example milestone</t>
        </is>
      </c>
    </row>
    <row r="7">
      <c r="A7" s="58">
        <f>IF(B7="","",ROW()-5)</f>
        <v/>
      </c>
      <c r="B7" s="65" t="inlineStr">
        <is>
          <t>Build</t>
        </is>
      </c>
      <c r="C7" s="61" t="n">
        <v>46339.70833333334</v>
      </c>
      <c r="D7" s="51" t="n"/>
      <c r="E7" s="58">
        <f>IF(B7="","",COUNTIF(Tasks!$C$6:$C$305,B7))</f>
        <v/>
      </c>
      <c r="F7" s="58">
        <f>IF(B7="","",COUNTIFS(Tasks!$C$6:$C$305,B7,Tasks!$E$6:$E$305,"Done"))</f>
        <v/>
      </c>
      <c r="G7" s="66">
        <f>IF(OR(B7="",E7=0),"",F7/E7)</f>
        <v/>
      </c>
      <c r="H7" s="58">
        <f>IF(B7="","",IF(AND(E7&gt;0,F7=E7),"Complete",IF(C7="","Planned",IF(C7&lt;NOW(),"Late","On track"))))</f>
        <v/>
      </c>
      <c r="I7" s="65" t="inlineStr">
        <is>
          <t>Example milestone</t>
        </is>
      </c>
    </row>
    <row r="8">
      <c r="A8" s="58">
        <f>IF(B8="","",ROW()-5)</f>
        <v/>
      </c>
      <c r="B8" s="65" t="inlineStr">
        <is>
          <t>Launch</t>
        </is>
      </c>
      <c r="C8" s="61" t="n">
        <v>46360.70833333334</v>
      </c>
      <c r="D8" s="51" t="n"/>
      <c r="E8" s="58">
        <f>IF(B8="","",COUNTIF(Tasks!$C$6:$C$305,B8))</f>
        <v/>
      </c>
      <c r="F8" s="58">
        <f>IF(B8="","",COUNTIFS(Tasks!$C$6:$C$305,B8,Tasks!$E$6:$E$305,"Done"))</f>
        <v/>
      </c>
      <c r="G8" s="66">
        <f>IF(OR(B8="",E8=0),"",F8/E8)</f>
        <v/>
      </c>
      <c r="H8" s="58">
        <f>IF(B8="","",IF(AND(E8&gt;0,F8=E8),"Complete",IF(C8="","Planned",IF(C8&lt;NOW(),"Late","On track"))))</f>
        <v/>
      </c>
      <c r="I8" s="65" t="inlineStr">
        <is>
          <t>Example milestone</t>
        </is>
      </c>
    </row>
    <row r="9">
      <c r="A9" s="58">
        <f>IF(B9="","",ROW()-5)</f>
        <v/>
      </c>
      <c r="B9" s="65" t="n"/>
      <c r="C9" s="61" t="n"/>
      <c r="D9" s="51" t="n"/>
      <c r="E9" s="58">
        <f>IF(B9="","",COUNTIF(Tasks!$C$6:$C$305,B9))</f>
        <v/>
      </c>
      <c r="F9" s="58">
        <f>IF(B9="","",COUNTIFS(Tasks!$C$6:$C$305,B9,Tasks!$E$6:$E$305,"Done"))</f>
        <v/>
      </c>
      <c r="G9" s="66">
        <f>IF(OR(B9="",E9=0),"",F9/E9)</f>
        <v/>
      </c>
      <c r="H9" s="58">
        <f>IF(B9="","",IF(AND(E9&gt;0,F9=E9),"Complete",IF(C9="","Planned",IF(C9&lt;NOW(),"Late","On track"))))</f>
        <v/>
      </c>
      <c r="I9" s="65" t="n"/>
    </row>
    <row r="10">
      <c r="A10" s="58">
        <f>IF(B10="","",ROW()-5)</f>
        <v/>
      </c>
      <c r="B10" s="65" t="n"/>
      <c r="C10" s="61" t="n"/>
      <c r="D10" s="51" t="n"/>
      <c r="E10" s="58">
        <f>IF(B10="","",COUNTIF(Tasks!$C$6:$C$305,B10))</f>
        <v/>
      </c>
      <c r="F10" s="58">
        <f>IF(B10="","",COUNTIFS(Tasks!$C$6:$C$305,B10,Tasks!$E$6:$E$305,"Done"))</f>
        <v/>
      </c>
      <c r="G10" s="66">
        <f>IF(OR(B10="",E10=0),"",F10/E10)</f>
        <v/>
      </c>
      <c r="H10" s="58">
        <f>IF(B10="","",IF(AND(E10&gt;0,F10=E10),"Complete",IF(C10="","Planned",IF(C10&lt;NOW(),"Late","On track"))))</f>
        <v/>
      </c>
      <c r="I10" s="65" t="n"/>
    </row>
    <row r="11">
      <c r="A11" s="58">
        <f>IF(B11="","",ROW()-5)</f>
        <v/>
      </c>
      <c r="B11" s="65" t="n"/>
      <c r="C11" s="61" t="n"/>
      <c r="D11" s="51" t="n"/>
      <c r="E11" s="58">
        <f>IF(B11="","",COUNTIF(Tasks!$C$6:$C$305,B11))</f>
        <v/>
      </c>
      <c r="F11" s="58">
        <f>IF(B11="","",COUNTIFS(Tasks!$C$6:$C$305,B11,Tasks!$E$6:$E$305,"Done"))</f>
        <v/>
      </c>
      <c r="G11" s="66">
        <f>IF(OR(B11="",E11=0),"",F11/E11)</f>
        <v/>
      </c>
      <c r="H11" s="58">
        <f>IF(B11="","",IF(AND(E11&gt;0,F11=E11),"Complete",IF(C11="","Planned",IF(C11&lt;NOW(),"Late","On track"))))</f>
        <v/>
      </c>
      <c r="I11" s="65" t="n"/>
    </row>
    <row r="12">
      <c r="A12" s="58">
        <f>IF(B12="","",ROW()-5)</f>
        <v/>
      </c>
      <c r="B12" s="65" t="n"/>
      <c r="C12" s="61" t="n"/>
      <c r="D12" s="51" t="n"/>
      <c r="E12" s="58">
        <f>IF(B12="","",COUNTIF(Tasks!$C$6:$C$305,B12))</f>
        <v/>
      </c>
      <c r="F12" s="58">
        <f>IF(B12="","",COUNTIFS(Tasks!$C$6:$C$305,B12,Tasks!$E$6:$E$305,"Done"))</f>
        <v/>
      </c>
      <c r="G12" s="66">
        <f>IF(OR(B12="",E12=0),"",F12/E12)</f>
        <v/>
      </c>
      <c r="H12" s="58">
        <f>IF(B12="","",IF(AND(E12&gt;0,F12=E12),"Complete",IF(C12="","Planned",IF(C12&lt;NOW(),"Late","On track"))))</f>
        <v/>
      </c>
      <c r="I12" s="65" t="n"/>
    </row>
    <row r="13">
      <c r="A13" s="58">
        <f>IF(B13="","",ROW()-5)</f>
        <v/>
      </c>
      <c r="B13" s="65" t="n"/>
      <c r="C13" s="61" t="n"/>
      <c r="D13" s="51" t="n"/>
      <c r="E13" s="58">
        <f>IF(B13="","",COUNTIF(Tasks!$C$6:$C$305,B13))</f>
        <v/>
      </c>
      <c r="F13" s="58">
        <f>IF(B13="","",COUNTIFS(Tasks!$C$6:$C$305,B13,Tasks!$E$6:$E$305,"Done"))</f>
        <v/>
      </c>
      <c r="G13" s="66">
        <f>IF(OR(B13="",E13=0),"",F13/E13)</f>
        <v/>
      </c>
      <c r="H13" s="58">
        <f>IF(B13="","",IF(AND(E13&gt;0,F13=E13),"Complete",IF(C13="","Planned",IF(C13&lt;NOW(),"Late","On track"))))</f>
        <v/>
      </c>
      <c r="I13" s="65" t="n"/>
    </row>
    <row r="14">
      <c r="A14" s="58">
        <f>IF(B14="","",ROW()-5)</f>
        <v/>
      </c>
      <c r="B14" s="65" t="n"/>
      <c r="C14" s="61" t="n"/>
      <c r="D14" s="51" t="n"/>
      <c r="E14" s="58">
        <f>IF(B14="","",COUNTIF(Tasks!$C$6:$C$305,B14))</f>
        <v/>
      </c>
      <c r="F14" s="58">
        <f>IF(B14="","",COUNTIFS(Tasks!$C$6:$C$305,B14,Tasks!$E$6:$E$305,"Done"))</f>
        <v/>
      </c>
      <c r="G14" s="66">
        <f>IF(OR(B14="",E14=0),"",F14/E14)</f>
        <v/>
      </c>
      <c r="H14" s="58">
        <f>IF(B14="","",IF(AND(E14&gt;0,F14=E14),"Complete",IF(C14="","Planned",IF(C14&lt;NOW(),"Late","On track"))))</f>
        <v/>
      </c>
      <c r="I14" s="65" t="n"/>
    </row>
    <row r="15">
      <c r="A15" s="58">
        <f>IF(B15="","",ROW()-5)</f>
        <v/>
      </c>
      <c r="B15" s="65" t="n"/>
      <c r="C15" s="61" t="n"/>
      <c r="D15" s="51" t="n"/>
      <c r="E15" s="58">
        <f>IF(B15="","",COUNTIF(Tasks!$C$6:$C$305,B15))</f>
        <v/>
      </c>
      <c r="F15" s="58">
        <f>IF(B15="","",COUNTIFS(Tasks!$C$6:$C$305,B15,Tasks!$E$6:$E$305,"Done"))</f>
        <v/>
      </c>
      <c r="G15" s="66">
        <f>IF(OR(B15="",E15=0),"",F15/E15)</f>
        <v/>
      </c>
      <c r="H15" s="58">
        <f>IF(B15="","",IF(AND(E15&gt;0,F15=E15),"Complete",IF(C15="","Planned",IF(C15&lt;NOW(),"Late","On track"))))</f>
        <v/>
      </c>
      <c r="I15" s="65" t="n"/>
    </row>
    <row r="16">
      <c r="A16" s="58">
        <f>IF(B16="","",ROW()-5)</f>
        <v/>
      </c>
      <c r="B16" s="65" t="n"/>
      <c r="C16" s="61" t="n"/>
      <c r="D16" s="51" t="n"/>
      <c r="E16" s="58">
        <f>IF(B16="","",COUNTIF(Tasks!$C$6:$C$305,B16))</f>
        <v/>
      </c>
      <c r="F16" s="58">
        <f>IF(B16="","",COUNTIFS(Tasks!$C$6:$C$305,B16,Tasks!$E$6:$E$305,"Done"))</f>
        <v/>
      </c>
      <c r="G16" s="66">
        <f>IF(OR(B16="",E16=0),"",F16/E16)</f>
        <v/>
      </c>
      <c r="H16" s="58">
        <f>IF(B16="","",IF(AND(E16&gt;0,F16=E16),"Complete",IF(C16="","Planned",IF(C16&lt;NOW(),"Late","On track"))))</f>
        <v/>
      </c>
      <c r="I16" s="65" t="n"/>
    </row>
    <row r="17">
      <c r="A17" s="58">
        <f>IF(B17="","",ROW()-5)</f>
        <v/>
      </c>
      <c r="B17" s="65" t="n"/>
      <c r="C17" s="61" t="n"/>
      <c r="D17" s="51" t="n"/>
      <c r="E17" s="58">
        <f>IF(B17="","",COUNTIF(Tasks!$C$6:$C$305,B17))</f>
        <v/>
      </c>
      <c r="F17" s="58">
        <f>IF(B17="","",COUNTIFS(Tasks!$C$6:$C$305,B17,Tasks!$E$6:$E$305,"Done"))</f>
        <v/>
      </c>
      <c r="G17" s="66">
        <f>IF(OR(B17="",E17=0),"",F17/E17)</f>
        <v/>
      </c>
      <c r="H17" s="58">
        <f>IF(B17="","",IF(AND(E17&gt;0,F17=E17),"Complete",IF(C17="","Planned",IF(C17&lt;NOW(),"Late","On track"))))</f>
        <v/>
      </c>
      <c r="I17" s="65" t="n"/>
    </row>
    <row r="18">
      <c r="A18" s="58">
        <f>IF(B18="","",ROW()-5)</f>
        <v/>
      </c>
      <c r="B18" s="65" t="n"/>
      <c r="C18" s="61" t="n"/>
      <c r="D18" s="51" t="n"/>
      <c r="E18" s="58">
        <f>IF(B18="","",COUNTIF(Tasks!$C$6:$C$305,B18))</f>
        <v/>
      </c>
      <c r="F18" s="58">
        <f>IF(B18="","",COUNTIFS(Tasks!$C$6:$C$305,B18,Tasks!$E$6:$E$305,"Done"))</f>
        <v/>
      </c>
      <c r="G18" s="66">
        <f>IF(OR(B18="",E18=0),"",F18/E18)</f>
        <v/>
      </c>
      <c r="H18" s="58">
        <f>IF(B18="","",IF(AND(E18&gt;0,F18=E18),"Complete",IF(C18="","Planned",IF(C18&lt;NOW(),"Late","On track"))))</f>
        <v/>
      </c>
      <c r="I18" s="65" t="n"/>
    </row>
    <row r="19">
      <c r="A19" s="58">
        <f>IF(B19="","",ROW()-5)</f>
        <v/>
      </c>
      <c r="B19" s="65" t="n"/>
      <c r="C19" s="61" t="n"/>
      <c r="D19" s="51" t="n"/>
      <c r="E19" s="58">
        <f>IF(B19="","",COUNTIF(Tasks!$C$6:$C$305,B19))</f>
        <v/>
      </c>
      <c r="F19" s="58">
        <f>IF(B19="","",COUNTIFS(Tasks!$C$6:$C$305,B19,Tasks!$E$6:$E$305,"Done"))</f>
        <v/>
      </c>
      <c r="G19" s="66">
        <f>IF(OR(B19="",E19=0),"",F19/E19)</f>
        <v/>
      </c>
      <c r="H19" s="58">
        <f>IF(B19="","",IF(AND(E19&gt;0,F19=E19),"Complete",IF(C19="","Planned",IF(C19&lt;NOW(),"Late","On track"))))</f>
        <v/>
      </c>
      <c r="I19" s="65" t="n"/>
    </row>
    <row r="20">
      <c r="A20" s="58">
        <f>IF(B20="","",ROW()-5)</f>
        <v/>
      </c>
      <c r="B20" s="65" t="n"/>
      <c r="C20" s="61" t="n"/>
      <c r="D20" s="51" t="n"/>
      <c r="E20" s="58">
        <f>IF(B20="","",COUNTIF(Tasks!$C$6:$C$305,B20))</f>
        <v/>
      </c>
      <c r="F20" s="58">
        <f>IF(B20="","",COUNTIFS(Tasks!$C$6:$C$305,B20,Tasks!$E$6:$E$305,"Done"))</f>
        <v/>
      </c>
      <c r="G20" s="66">
        <f>IF(OR(B20="",E20=0),"",F20/E20)</f>
        <v/>
      </c>
      <c r="H20" s="58">
        <f>IF(B20="","",IF(AND(E20&gt;0,F20=E20),"Complete",IF(C20="","Planned",IF(C20&lt;NOW(),"Late","On track"))))</f>
        <v/>
      </c>
      <c r="I20" s="65" t="n"/>
    </row>
    <row r="21">
      <c r="A21" s="58">
        <f>IF(B21="","",ROW()-5)</f>
        <v/>
      </c>
      <c r="B21" s="65" t="n"/>
      <c r="C21" s="61" t="n"/>
      <c r="D21" s="51" t="n"/>
      <c r="E21" s="58">
        <f>IF(B21="","",COUNTIF(Tasks!$C$6:$C$305,B21))</f>
        <v/>
      </c>
      <c r="F21" s="58">
        <f>IF(B21="","",COUNTIFS(Tasks!$C$6:$C$305,B21,Tasks!$E$6:$E$305,"Done"))</f>
        <v/>
      </c>
      <c r="G21" s="66">
        <f>IF(OR(B21="",E21=0),"",F21/E21)</f>
        <v/>
      </c>
      <c r="H21" s="58">
        <f>IF(B21="","",IF(AND(E21&gt;0,F21=E21),"Complete",IF(C21="","Planned",IF(C21&lt;NOW(),"Late","On track"))))</f>
        <v/>
      </c>
      <c r="I21" s="65" t="n"/>
    </row>
    <row r="22">
      <c r="A22" s="58">
        <f>IF(B22="","",ROW()-5)</f>
        <v/>
      </c>
      <c r="B22" s="65" t="n"/>
      <c r="C22" s="61" t="n"/>
      <c r="D22" s="51" t="n"/>
      <c r="E22" s="58">
        <f>IF(B22="","",COUNTIF(Tasks!$C$6:$C$305,B22))</f>
        <v/>
      </c>
      <c r="F22" s="58">
        <f>IF(B22="","",COUNTIFS(Tasks!$C$6:$C$305,B22,Tasks!$E$6:$E$305,"Done"))</f>
        <v/>
      </c>
      <c r="G22" s="66">
        <f>IF(OR(B22="",E22=0),"",F22/E22)</f>
        <v/>
      </c>
      <c r="H22" s="58">
        <f>IF(B22="","",IF(AND(E22&gt;0,F22=E22),"Complete",IF(C22="","Planned",IF(C22&lt;NOW(),"Late","On track"))))</f>
        <v/>
      </c>
      <c r="I22" s="65" t="n"/>
    </row>
    <row r="23">
      <c r="A23" s="58">
        <f>IF(B23="","",ROW()-5)</f>
        <v/>
      </c>
      <c r="B23" s="65" t="n"/>
      <c r="C23" s="61" t="n"/>
      <c r="D23" s="51" t="n"/>
      <c r="E23" s="58">
        <f>IF(B23="","",COUNTIF(Tasks!$C$6:$C$305,B23))</f>
        <v/>
      </c>
      <c r="F23" s="58">
        <f>IF(B23="","",COUNTIFS(Tasks!$C$6:$C$305,B23,Tasks!$E$6:$E$305,"Done"))</f>
        <v/>
      </c>
      <c r="G23" s="66">
        <f>IF(OR(B23="",E23=0),"",F23/E23)</f>
        <v/>
      </c>
      <c r="H23" s="58">
        <f>IF(B23="","",IF(AND(E23&gt;0,F23=E23),"Complete",IF(C23="","Planned",IF(C23&lt;NOW(),"Late","On track"))))</f>
        <v/>
      </c>
      <c r="I23" s="65" t="n"/>
    </row>
    <row r="24">
      <c r="A24" s="58">
        <f>IF(B24="","",ROW()-5)</f>
        <v/>
      </c>
      <c r="B24" s="65" t="n"/>
      <c r="C24" s="61" t="n"/>
      <c r="D24" s="51" t="n"/>
      <c r="E24" s="58">
        <f>IF(B24="","",COUNTIF(Tasks!$C$6:$C$305,B24))</f>
        <v/>
      </c>
      <c r="F24" s="58">
        <f>IF(B24="","",COUNTIFS(Tasks!$C$6:$C$305,B24,Tasks!$E$6:$E$305,"Done"))</f>
        <v/>
      </c>
      <c r="G24" s="66">
        <f>IF(OR(B24="",E24=0),"",F24/E24)</f>
        <v/>
      </c>
      <c r="H24" s="58">
        <f>IF(B24="","",IF(AND(E24&gt;0,F24=E24),"Complete",IF(C24="","Planned",IF(C24&lt;NOW(),"Late","On track"))))</f>
        <v/>
      </c>
      <c r="I24" s="65" t="n"/>
    </row>
    <row r="25">
      <c r="A25" s="58">
        <f>IF(B25="","",ROW()-5)</f>
        <v/>
      </c>
      <c r="B25" s="65" t="n"/>
      <c r="C25" s="61" t="n"/>
      <c r="D25" s="51" t="n"/>
      <c r="E25" s="58">
        <f>IF(B25="","",COUNTIF(Tasks!$C$6:$C$305,B25))</f>
        <v/>
      </c>
      <c r="F25" s="58">
        <f>IF(B25="","",COUNTIFS(Tasks!$C$6:$C$305,B25,Tasks!$E$6:$E$305,"Done"))</f>
        <v/>
      </c>
      <c r="G25" s="66">
        <f>IF(OR(B25="",E25=0),"",F25/E25)</f>
        <v/>
      </c>
      <c r="H25" s="58">
        <f>IF(B25="","",IF(AND(E25&gt;0,F25=E25),"Complete",IF(C25="","Planned",IF(C25&lt;NOW(),"Late","On track"))))</f>
        <v/>
      </c>
      <c r="I25" s="65" t="n"/>
    </row>
    <row r="26">
      <c r="A26" s="58">
        <f>IF(B26="","",ROW()-5)</f>
        <v/>
      </c>
      <c r="B26" s="65" t="n"/>
      <c r="C26" s="61" t="n"/>
      <c r="D26" s="51" t="n"/>
      <c r="E26" s="58">
        <f>IF(B26="","",COUNTIF(Tasks!$C$6:$C$305,B26))</f>
        <v/>
      </c>
      <c r="F26" s="58">
        <f>IF(B26="","",COUNTIFS(Tasks!$C$6:$C$305,B26,Tasks!$E$6:$E$305,"Done"))</f>
        <v/>
      </c>
      <c r="G26" s="66">
        <f>IF(OR(B26="",E26=0),"",F26/E26)</f>
        <v/>
      </c>
      <c r="H26" s="58">
        <f>IF(B26="","",IF(AND(E26&gt;0,F26=E26),"Complete",IF(C26="","Planned",IF(C26&lt;NOW(),"Late","On track"))))</f>
        <v/>
      </c>
      <c r="I26" s="65" t="n"/>
    </row>
    <row r="27">
      <c r="A27" s="58">
        <f>IF(B27="","",ROW()-5)</f>
        <v/>
      </c>
      <c r="B27" s="65" t="n"/>
      <c r="C27" s="61" t="n"/>
      <c r="D27" s="51" t="n"/>
      <c r="E27" s="58">
        <f>IF(B27="","",COUNTIF(Tasks!$C$6:$C$305,B27))</f>
        <v/>
      </c>
      <c r="F27" s="58">
        <f>IF(B27="","",COUNTIFS(Tasks!$C$6:$C$305,B27,Tasks!$E$6:$E$305,"Done"))</f>
        <v/>
      </c>
      <c r="G27" s="66">
        <f>IF(OR(B27="",E27=0),"",F27/E27)</f>
        <v/>
      </c>
      <c r="H27" s="58">
        <f>IF(B27="","",IF(AND(E27&gt;0,F27=E27),"Complete",IF(C27="","Planned",IF(C27&lt;NOW(),"Late","On track"))))</f>
        <v/>
      </c>
      <c r="I27" s="65" t="n"/>
    </row>
    <row r="28">
      <c r="A28" s="58">
        <f>IF(B28="","",ROW()-5)</f>
        <v/>
      </c>
      <c r="B28" s="65" t="n"/>
      <c r="C28" s="61" t="n"/>
      <c r="D28" s="51" t="n"/>
      <c r="E28" s="58">
        <f>IF(B28="","",COUNTIF(Tasks!$C$6:$C$305,B28))</f>
        <v/>
      </c>
      <c r="F28" s="58">
        <f>IF(B28="","",COUNTIFS(Tasks!$C$6:$C$305,B28,Tasks!$E$6:$E$305,"Done"))</f>
        <v/>
      </c>
      <c r="G28" s="66">
        <f>IF(OR(B28="",E28=0),"",F28/E28)</f>
        <v/>
      </c>
      <c r="H28" s="58">
        <f>IF(B28="","",IF(AND(E28&gt;0,F28=E28),"Complete",IF(C28="","Planned",IF(C28&lt;NOW(),"Late","On track"))))</f>
        <v/>
      </c>
      <c r="I28" s="65" t="n"/>
    </row>
    <row r="29">
      <c r="A29" s="58">
        <f>IF(B29="","",ROW()-5)</f>
        <v/>
      </c>
      <c r="B29" s="65" t="n"/>
      <c r="C29" s="61" t="n"/>
      <c r="D29" s="51" t="n"/>
      <c r="E29" s="58">
        <f>IF(B29="","",COUNTIF(Tasks!$C$6:$C$305,B29))</f>
        <v/>
      </c>
      <c r="F29" s="58">
        <f>IF(B29="","",COUNTIFS(Tasks!$C$6:$C$305,B29,Tasks!$E$6:$E$305,"Done"))</f>
        <v/>
      </c>
      <c r="G29" s="66">
        <f>IF(OR(B29="",E29=0),"",F29/E29)</f>
        <v/>
      </c>
      <c r="H29" s="58">
        <f>IF(B29="","",IF(AND(E29&gt;0,F29=E29),"Complete",IF(C29="","Planned",IF(C29&lt;NOW(),"Late","On track"))))</f>
        <v/>
      </c>
      <c r="I29" s="65" t="n"/>
    </row>
    <row r="30">
      <c r="A30" s="58">
        <f>IF(B30="","",ROW()-5)</f>
        <v/>
      </c>
      <c r="B30" s="65" t="n"/>
      <c r="C30" s="61" t="n"/>
      <c r="D30" s="51" t="n"/>
      <c r="E30" s="58">
        <f>IF(B30="","",COUNTIF(Tasks!$C$6:$C$305,B30))</f>
        <v/>
      </c>
      <c r="F30" s="58">
        <f>IF(B30="","",COUNTIFS(Tasks!$C$6:$C$305,B30,Tasks!$E$6:$E$305,"Done"))</f>
        <v/>
      </c>
      <c r="G30" s="66">
        <f>IF(OR(B30="",E30=0),"",F30/E30)</f>
        <v/>
      </c>
      <c r="H30" s="58">
        <f>IF(B30="","",IF(AND(E30&gt;0,F30=E30),"Complete",IF(C30="","Planned",IF(C30&lt;NOW(),"Late","On track"))))</f>
        <v/>
      </c>
      <c r="I30" s="65" t="n"/>
    </row>
    <row r="31">
      <c r="A31" s="58">
        <f>IF(B31="","",ROW()-5)</f>
        <v/>
      </c>
      <c r="B31" s="65" t="n"/>
      <c r="C31" s="61" t="n"/>
      <c r="D31" s="51" t="n"/>
      <c r="E31" s="58">
        <f>IF(B31="","",COUNTIF(Tasks!$C$6:$C$305,B31))</f>
        <v/>
      </c>
      <c r="F31" s="58">
        <f>IF(B31="","",COUNTIFS(Tasks!$C$6:$C$305,B31,Tasks!$E$6:$E$305,"Done"))</f>
        <v/>
      </c>
      <c r="G31" s="66">
        <f>IF(OR(B31="",E31=0),"",F31/E31)</f>
        <v/>
      </c>
      <c r="H31" s="58">
        <f>IF(B31="","",IF(AND(E31&gt;0,F31=E31),"Complete",IF(C31="","Planned",IF(C31&lt;NOW(),"Late","On track"))))</f>
        <v/>
      </c>
      <c r="I31" s="65" t="n"/>
    </row>
    <row r="32">
      <c r="A32" s="58">
        <f>IF(B32="","",ROW()-5)</f>
        <v/>
      </c>
      <c r="B32" s="65" t="n"/>
      <c r="C32" s="61" t="n"/>
      <c r="D32" s="51" t="n"/>
      <c r="E32" s="58">
        <f>IF(B32="","",COUNTIF(Tasks!$C$6:$C$305,B32))</f>
        <v/>
      </c>
      <c r="F32" s="58">
        <f>IF(B32="","",COUNTIFS(Tasks!$C$6:$C$305,B32,Tasks!$E$6:$E$305,"Done"))</f>
        <v/>
      </c>
      <c r="G32" s="66">
        <f>IF(OR(B32="",E32=0),"",F32/E32)</f>
        <v/>
      </c>
      <c r="H32" s="58">
        <f>IF(B32="","",IF(AND(E32&gt;0,F32=E32),"Complete",IF(C32="","Planned",IF(C32&lt;NOW(),"Late","On track"))))</f>
        <v/>
      </c>
      <c r="I32" s="65" t="n"/>
    </row>
    <row r="33">
      <c r="A33" s="58">
        <f>IF(B33="","",ROW()-5)</f>
        <v/>
      </c>
      <c r="B33" s="65" t="n"/>
      <c r="C33" s="61" t="n"/>
      <c r="D33" s="51" t="n"/>
      <c r="E33" s="58">
        <f>IF(B33="","",COUNTIF(Tasks!$C$6:$C$305,B33))</f>
        <v/>
      </c>
      <c r="F33" s="58">
        <f>IF(B33="","",COUNTIFS(Tasks!$C$6:$C$305,B33,Tasks!$E$6:$E$305,"Done"))</f>
        <v/>
      </c>
      <c r="G33" s="66">
        <f>IF(OR(B33="",E33=0),"",F33/E33)</f>
        <v/>
      </c>
      <c r="H33" s="58">
        <f>IF(B33="","",IF(AND(E33&gt;0,F33=E33),"Complete",IF(C33="","Planned",IF(C33&lt;NOW(),"Late","On track"))))</f>
        <v/>
      </c>
      <c r="I33" s="65" t="n"/>
    </row>
    <row r="34">
      <c r="A34" s="58">
        <f>IF(B34="","",ROW()-5)</f>
        <v/>
      </c>
      <c r="B34" s="65" t="n"/>
      <c r="C34" s="61" t="n"/>
      <c r="D34" s="51" t="n"/>
      <c r="E34" s="58">
        <f>IF(B34="","",COUNTIF(Tasks!$C$6:$C$305,B34))</f>
        <v/>
      </c>
      <c r="F34" s="58">
        <f>IF(B34="","",COUNTIFS(Tasks!$C$6:$C$305,B34,Tasks!$E$6:$E$305,"Done"))</f>
        <v/>
      </c>
      <c r="G34" s="66">
        <f>IF(OR(B34="",E34=0),"",F34/E34)</f>
        <v/>
      </c>
      <c r="H34" s="58">
        <f>IF(B34="","",IF(AND(E34&gt;0,F34=E34),"Complete",IF(C34="","Planned",IF(C34&lt;NOW(),"Late","On track"))))</f>
        <v/>
      </c>
      <c r="I34" s="65" t="n"/>
    </row>
    <row r="35">
      <c r="A35" s="58">
        <f>IF(B35="","",ROW()-5)</f>
        <v/>
      </c>
      <c r="B35" s="65" t="n"/>
      <c r="C35" s="61" t="n"/>
      <c r="D35" s="51" t="n"/>
      <c r="E35" s="58">
        <f>IF(B35="","",COUNTIF(Tasks!$C$6:$C$305,B35))</f>
        <v/>
      </c>
      <c r="F35" s="58">
        <f>IF(B35="","",COUNTIFS(Tasks!$C$6:$C$305,B35,Tasks!$E$6:$E$305,"Done"))</f>
        <v/>
      </c>
      <c r="G35" s="66">
        <f>IF(OR(B35="",E35=0),"",F35/E35)</f>
        <v/>
      </c>
      <c r="H35" s="58">
        <f>IF(B35="","",IF(AND(E35&gt;0,F35=E35),"Complete",IF(C35="","Planned",IF(C35&lt;NOW(),"Late","On track"))))</f>
        <v/>
      </c>
      <c r="I35" s="65" t="n"/>
    </row>
  </sheetData>
  <conditionalFormatting sqref="G6:G35">
    <cfRule type="dataBar" priority="1">
      <dataBar>
        <cfvo type="num" val="0"/>
        <cfvo type="num" val="1"/>
        <color rgb="0012B76A"/>
      </dataBar>
    </cfRule>
  </conditionalFormatting>
  <conditionalFormatting sqref="H6:H35">
    <cfRule type="cellIs" priority="2" operator="equal" dxfId="12">
      <formula>"Late"</formula>
    </cfRule>
    <cfRule type="cellIs" priority="3" operator="equal" dxfId="15">
      <formula>"Complete"</formula>
    </cfRule>
    <cfRule type="cellIs" priority="4" operator="equal" dxfId="14">
      <formula>"On track"</formula>
    </cfRule>
  </conditionalFormatting>
  <dataValidations count="1">
    <dataValidation sqref="D6:D35" showDropDown="0" showInputMessage="0" showErrorMessage="1" allowBlank="1" errorTitle="Not in the list" error="Pick a value from the drop-down (lists are on the Settings sheet)." type="list">
      <formula1>=Members</formula1>
    </dataValidation>
  </dataValidations>
  <hyperlinks>
    <hyperlink xmlns:r="http://schemas.openxmlformats.org/officeDocument/2006/relationships" ref="A3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0A2A5C"/>
    <outlinePr summaryBelow="1" summaryRight="1"/>
    <pageSetUpPr fitToPage="1"/>
  </sheetPr>
  <dimension ref="A1:CK85"/>
  <sheetViews>
    <sheetView showGridLines="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11" customWidth="1" min="4" max="4"/>
    <col width="11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  <col width="3.2" customWidth="1" min="82" max="82"/>
    <col width="3.2" customWidth="1" min="83" max="83"/>
    <col width="3.2" customWidth="1" min="84" max="84"/>
    <col width="3.2" customWidth="1" min="85" max="85"/>
    <col width="3.2" customWidth="1" min="86" max="86"/>
    <col width="3.2" customWidth="1" min="87" max="87"/>
    <col width="3.2" customWidth="1" min="88" max="88"/>
    <col width="3.2" customWidth="1" min="89" max="89"/>
  </cols>
  <sheetData>
    <row r="1" ht="30" customHeight="1">
      <c r="A1" s="47" t="inlineStr">
        <is>
          <t>Timeline (Gantt)</t>
        </is>
      </c>
    </row>
    <row r="2">
      <c r="A2" s="3" t="inlineStr">
        <is>
          <t>Read-only view of the first tasks on the Tasks sheet. Bars run from Start to Due. The gold column is today.</t>
        </is>
      </c>
    </row>
    <row r="3">
      <c r="A3" s="48" t="inlineStr">
        <is>
          <t>← Back to Start Here</t>
        </is>
      </c>
      <c r="E3" s="26" t="inlineStr">
        <is>
          <t>Show from:</t>
        </is>
      </c>
      <c r="G3" s="67">
        <f>ProjStart</f>
        <v/>
      </c>
      <c r="H3" s="28" t="n"/>
      <c r="I3" s="28" t="n"/>
      <c r="J3" s="28" t="n"/>
      <c r="K3" s="29" t="n"/>
      <c r="L3" s="68" t="inlineStr">
        <is>
          <t>← change this date to scroll the timeline</t>
        </is>
      </c>
    </row>
    <row r="4">
      <c r="A4" s="40" t="inlineStr">
        <is>
          <t>Legend:</t>
        </is>
      </c>
      <c r="B4" s="69" t="inlineStr">
        <is>
          <t>Planned</t>
        </is>
      </c>
      <c r="C4" s="70" t="inlineStr">
        <is>
          <t>Done</t>
        </is>
      </c>
      <c r="D4" s="71" t="inlineStr">
        <is>
          <t>Overdue</t>
        </is>
      </c>
      <c r="E4" s="72" t="inlineStr">
        <is>
          <t>Blocked</t>
        </is>
      </c>
      <c r="F4" s="73" t="inlineStr">
        <is>
          <t>Today</t>
        </is>
      </c>
      <c r="G4" s="74">
        <f>IF(OR(1=0,DAY($G$3+1)=1),TEXT($G$3+1,"mmm"),"")</f>
        <v/>
      </c>
      <c r="H4" s="74">
        <f>IF(OR(2=0,DAY($G$3+2)=1),TEXT($G$3+2,"mmm"),"")</f>
        <v/>
      </c>
      <c r="I4" s="74">
        <f>IF(OR(3=0,DAY($G$3+3)=1),TEXT($G$3+3,"mmm"),"")</f>
        <v/>
      </c>
      <c r="J4" s="74">
        <f>IF(OR(4=0,DAY($G$3+4)=1),TEXT($G$3+4,"mmm"),"")</f>
        <v/>
      </c>
      <c r="K4" s="74">
        <f>IF(OR(5=0,DAY($G$3+5)=1),TEXT($G$3+5,"mmm"),"")</f>
        <v/>
      </c>
      <c r="L4" s="74">
        <f>IF(OR(6=0,DAY($G$3+6)=1),TEXT($G$3+6,"mmm"),"")</f>
        <v/>
      </c>
      <c r="M4" s="74">
        <f>IF(OR(7=0,DAY($G$3+7)=1),TEXT($G$3+7,"mmm"),"")</f>
        <v/>
      </c>
      <c r="N4" s="74">
        <f>IF(OR(8=0,DAY($G$3+8)=1),TEXT($G$3+8,"mmm"),"")</f>
        <v/>
      </c>
      <c r="O4" s="74">
        <f>IF(OR(9=0,DAY($G$3+9)=1),TEXT($G$3+9,"mmm"),"")</f>
        <v/>
      </c>
      <c r="P4" s="74">
        <f>IF(OR(10=0,DAY($G$3+10)=1),TEXT($G$3+10,"mmm"),"")</f>
        <v/>
      </c>
      <c r="Q4" s="74">
        <f>IF(OR(11=0,DAY($G$3+11)=1),TEXT($G$3+11,"mmm"),"")</f>
        <v/>
      </c>
      <c r="R4" s="74">
        <f>IF(OR(12=0,DAY($G$3+12)=1),TEXT($G$3+12,"mmm"),"")</f>
        <v/>
      </c>
      <c r="S4" s="74">
        <f>IF(OR(13=0,DAY($G$3+13)=1),TEXT($G$3+13,"mmm"),"")</f>
        <v/>
      </c>
      <c r="T4" s="74">
        <f>IF(OR(14=0,DAY($G$3+14)=1),TEXT($G$3+14,"mmm"),"")</f>
        <v/>
      </c>
      <c r="U4" s="74">
        <f>IF(OR(15=0,DAY($G$3+15)=1),TEXT($G$3+15,"mmm"),"")</f>
        <v/>
      </c>
      <c r="V4" s="74">
        <f>IF(OR(16=0,DAY($G$3+16)=1),TEXT($G$3+16,"mmm"),"")</f>
        <v/>
      </c>
      <c r="W4" s="74">
        <f>IF(OR(17=0,DAY($G$3+17)=1),TEXT($G$3+17,"mmm"),"")</f>
        <v/>
      </c>
      <c r="X4" s="74">
        <f>IF(OR(18=0,DAY($G$3+18)=1),TEXT($G$3+18,"mmm"),"")</f>
        <v/>
      </c>
      <c r="Y4" s="74">
        <f>IF(OR(19=0,DAY($G$3+19)=1),TEXT($G$3+19,"mmm"),"")</f>
        <v/>
      </c>
      <c r="Z4" s="74">
        <f>IF(OR(20=0,DAY($G$3+20)=1),TEXT($G$3+20,"mmm"),"")</f>
        <v/>
      </c>
      <c r="AA4" s="74">
        <f>IF(OR(21=0,DAY($G$3+21)=1),TEXT($G$3+21,"mmm"),"")</f>
        <v/>
      </c>
      <c r="AB4" s="74">
        <f>IF(OR(22=0,DAY($G$3+22)=1),TEXT($G$3+22,"mmm"),"")</f>
        <v/>
      </c>
      <c r="AC4" s="74">
        <f>IF(OR(23=0,DAY($G$3+23)=1),TEXT($G$3+23,"mmm"),"")</f>
        <v/>
      </c>
      <c r="AD4" s="74">
        <f>IF(OR(24=0,DAY($G$3+24)=1),TEXT($G$3+24,"mmm"),"")</f>
        <v/>
      </c>
      <c r="AE4" s="74">
        <f>IF(OR(25=0,DAY($G$3+25)=1),TEXT($G$3+25,"mmm"),"")</f>
        <v/>
      </c>
      <c r="AF4" s="74">
        <f>IF(OR(26=0,DAY($G$3+26)=1),TEXT($G$3+26,"mmm"),"")</f>
        <v/>
      </c>
      <c r="AG4" s="74">
        <f>IF(OR(27=0,DAY($G$3+27)=1),TEXT($G$3+27,"mmm"),"")</f>
        <v/>
      </c>
      <c r="AH4" s="74">
        <f>IF(OR(28=0,DAY($G$3+28)=1),TEXT($G$3+28,"mmm"),"")</f>
        <v/>
      </c>
      <c r="AI4" s="74">
        <f>IF(OR(29=0,DAY($G$3+29)=1),TEXT($G$3+29,"mmm"),"")</f>
        <v/>
      </c>
      <c r="AJ4" s="74">
        <f>IF(OR(30=0,DAY($G$3+30)=1),TEXT($G$3+30,"mmm"),"")</f>
        <v/>
      </c>
      <c r="AK4" s="74">
        <f>IF(OR(31=0,DAY($G$3+31)=1),TEXT($G$3+31,"mmm"),"")</f>
        <v/>
      </c>
      <c r="AL4" s="74">
        <f>IF(OR(32=0,DAY($G$3+32)=1),TEXT($G$3+32,"mmm"),"")</f>
        <v/>
      </c>
      <c r="AM4" s="74">
        <f>IF(OR(33=0,DAY($G$3+33)=1),TEXT($G$3+33,"mmm"),"")</f>
        <v/>
      </c>
      <c r="AN4" s="74">
        <f>IF(OR(34=0,DAY($G$3+34)=1),TEXT($G$3+34,"mmm"),"")</f>
        <v/>
      </c>
      <c r="AO4" s="74">
        <f>IF(OR(35=0,DAY($G$3+35)=1),TEXT($G$3+35,"mmm"),"")</f>
        <v/>
      </c>
      <c r="AP4" s="74">
        <f>IF(OR(36=0,DAY($G$3+36)=1),TEXT($G$3+36,"mmm"),"")</f>
        <v/>
      </c>
      <c r="AQ4" s="74">
        <f>IF(OR(37=0,DAY($G$3+37)=1),TEXT($G$3+37,"mmm"),"")</f>
        <v/>
      </c>
      <c r="AR4" s="74">
        <f>IF(OR(38=0,DAY($G$3+38)=1),TEXT($G$3+38,"mmm"),"")</f>
        <v/>
      </c>
      <c r="AS4" s="74">
        <f>IF(OR(39=0,DAY($G$3+39)=1),TEXT($G$3+39,"mmm"),"")</f>
        <v/>
      </c>
      <c r="AT4" s="74">
        <f>IF(OR(40=0,DAY($G$3+40)=1),TEXT($G$3+40,"mmm"),"")</f>
        <v/>
      </c>
      <c r="AU4" s="74">
        <f>IF(OR(41=0,DAY($G$3+41)=1),TEXT($G$3+41,"mmm"),"")</f>
        <v/>
      </c>
      <c r="AV4" s="74">
        <f>IF(OR(42=0,DAY($G$3+42)=1),TEXT($G$3+42,"mmm"),"")</f>
        <v/>
      </c>
      <c r="AW4" s="74">
        <f>IF(OR(43=0,DAY($G$3+43)=1),TEXT($G$3+43,"mmm"),"")</f>
        <v/>
      </c>
      <c r="AX4" s="74">
        <f>IF(OR(44=0,DAY($G$3+44)=1),TEXT($G$3+44,"mmm"),"")</f>
        <v/>
      </c>
      <c r="AY4" s="74">
        <f>IF(OR(45=0,DAY($G$3+45)=1),TEXT($G$3+45,"mmm"),"")</f>
        <v/>
      </c>
      <c r="AZ4" s="74">
        <f>IF(OR(46=0,DAY($G$3+46)=1),TEXT($G$3+46,"mmm"),"")</f>
        <v/>
      </c>
      <c r="BA4" s="74">
        <f>IF(OR(47=0,DAY($G$3+47)=1),TEXT($G$3+47,"mmm"),"")</f>
        <v/>
      </c>
      <c r="BB4" s="74">
        <f>IF(OR(48=0,DAY($G$3+48)=1),TEXT($G$3+48,"mmm"),"")</f>
        <v/>
      </c>
      <c r="BC4" s="74">
        <f>IF(OR(49=0,DAY($G$3+49)=1),TEXT($G$3+49,"mmm"),"")</f>
        <v/>
      </c>
      <c r="BD4" s="74">
        <f>IF(OR(50=0,DAY($G$3+50)=1),TEXT($G$3+50,"mmm"),"")</f>
        <v/>
      </c>
      <c r="BE4" s="74">
        <f>IF(OR(51=0,DAY($G$3+51)=1),TEXT($G$3+51,"mmm"),"")</f>
        <v/>
      </c>
      <c r="BF4" s="74">
        <f>IF(OR(52=0,DAY($G$3+52)=1),TEXT($G$3+52,"mmm"),"")</f>
        <v/>
      </c>
      <c r="BG4" s="74">
        <f>IF(OR(53=0,DAY($G$3+53)=1),TEXT($G$3+53,"mmm"),"")</f>
        <v/>
      </c>
      <c r="BH4" s="74">
        <f>IF(OR(54=0,DAY($G$3+54)=1),TEXT($G$3+54,"mmm"),"")</f>
        <v/>
      </c>
      <c r="BI4" s="74">
        <f>IF(OR(55=0,DAY($G$3+55)=1),TEXT($G$3+55,"mmm"),"")</f>
        <v/>
      </c>
      <c r="BJ4" s="74">
        <f>IF(OR(56=0,DAY($G$3+56)=1),TEXT($G$3+56,"mmm"),"")</f>
        <v/>
      </c>
      <c r="BK4" s="74">
        <f>IF(OR(57=0,DAY($G$3+57)=1),TEXT($G$3+57,"mmm"),"")</f>
        <v/>
      </c>
      <c r="BL4" s="74">
        <f>IF(OR(58=0,DAY($G$3+58)=1),TEXT($G$3+58,"mmm"),"")</f>
        <v/>
      </c>
      <c r="BM4" s="74">
        <f>IF(OR(59=0,DAY($G$3+59)=1),TEXT($G$3+59,"mmm"),"")</f>
        <v/>
      </c>
      <c r="BN4" s="74">
        <f>IF(OR(60=0,DAY($G$3+60)=1),TEXT($G$3+60,"mmm"),"")</f>
        <v/>
      </c>
      <c r="BO4" s="74">
        <f>IF(OR(61=0,DAY($G$3+61)=1),TEXT($G$3+61,"mmm"),"")</f>
        <v/>
      </c>
      <c r="BP4" s="74">
        <f>IF(OR(62=0,DAY($G$3+62)=1),TEXT($G$3+62,"mmm"),"")</f>
        <v/>
      </c>
      <c r="BQ4" s="74">
        <f>IF(OR(63=0,DAY($G$3+63)=1),TEXT($G$3+63,"mmm"),"")</f>
        <v/>
      </c>
      <c r="BR4" s="74">
        <f>IF(OR(64=0,DAY($G$3+64)=1),TEXT($G$3+64,"mmm"),"")</f>
        <v/>
      </c>
      <c r="BS4" s="74">
        <f>IF(OR(65=0,DAY($G$3+65)=1),TEXT($G$3+65,"mmm"),"")</f>
        <v/>
      </c>
      <c r="BT4" s="74">
        <f>IF(OR(66=0,DAY($G$3+66)=1),TEXT($G$3+66,"mmm"),"")</f>
        <v/>
      </c>
      <c r="BU4" s="74">
        <f>IF(OR(67=0,DAY($G$3+67)=1),TEXT($G$3+67,"mmm"),"")</f>
        <v/>
      </c>
      <c r="BV4" s="74">
        <f>IF(OR(68=0,DAY($G$3+68)=1),TEXT($G$3+68,"mmm"),"")</f>
        <v/>
      </c>
      <c r="BW4" s="74">
        <f>IF(OR(69=0,DAY($G$3+69)=1),TEXT($G$3+69,"mmm"),"")</f>
        <v/>
      </c>
      <c r="BX4" s="74">
        <f>IF(OR(70=0,DAY($G$3+70)=1),TEXT($G$3+70,"mmm"),"")</f>
        <v/>
      </c>
      <c r="BY4" s="74">
        <f>IF(OR(71=0,DAY($G$3+71)=1),TEXT($G$3+71,"mmm"),"")</f>
        <v/>
      </c>
      <c r="BZ4" s="74">
        <f>IF(OR(72=0,DAY($G$3+72)=1),TEXT($G$3+72,"mmm"),"")</f>
        <v/>
      </c>
      <c r="CA4" s="74">
        <f>IF(OR(73=0,DAY($G$3+73)=1),TEXT($G$3+73,"mmm"),"")</f>
        <v/>
      </c>
      <c r="CB4" s="74">
        <f>IF(OR(74=0,DAY($G$3+74)=1),TEXT($G$3+74,"mmm"),"")</f>
        <v/>
      </c>
      <c r="CC4" s="74">
        <f>IF(OR(75=0,DAY($G$3+75)=1),TEXT($G$3+75,"mmm"),"")</f>
        <v/>
      </c>
      <c r="CD4" s="74">
        <f>IF(OR(76=0,DAY($G$3+76)=1),TEXT($G$3+76,"mmm"),"")</f>
        <v/>
      </c>
      <c r="CE4" s="74">
        <f>IF(OR(77=0,DAY($G$3+77)=1),TEXT($G$3+77,"mmm"),"")</f>
        <v/>
      </c>
      <c r="CF4" s="74">
        <f>IF(OR(78=0,DAY($G$3+78)=1),TEXT($G$3+78,"mmm"),"")</f>
        <v/>
      </c>
      <c r="CG4" s="74">
        <f>IF(OR(79=0,DAY($G$3+79)=1),TEXT($G$3+79,"mmm"),"")</f>
        <v/>
      </c>
      <c r="CH4" s="74">
        <f>IF(OR(80=0,DAY($G$3+80)=1),TEXT($G$3+80,"mmm"),"")</f>
        <v/>
      </c>
      <c r="CI4" s="74">
        <f>IF(OR(81=0,DAY($G$3+81)=1),TEXT($G$3+81,"mmm"),"")</f>
        <v/>
      </c>
      <c r="CJ4" s="74">
        <f>IF(OR(82=0,DAY($G$3+82)=1),TEXT($G$3+82,"mmm"),"")</f>
        <v/>
      </c>
      <c r="CK4" s="74">
        <f>IF(OR(83=0,DAY($G$3+83)=1),TEXT($G$3+83,"mmm"),"")</f>
        <v/>
      </c>
    </row>
    <row r="5" ht="32" customHeight="1">
      <c r="A5" s="50" t="inlineStr">
        <is>
          <t>Task</t>
        </is>
      </c>
      <c r="B5" s="50" t="inlineStr">
        <is>
          <t>Owner</t>
        </is>
      </c>
      <c r="C5" s="50" t="inlineStr">
        <is>
          <t>Status</t>
        </is>
      </c>
      <c r="D5" s="50" t="inlineStr">
        <is>
          <t>Start</t>
        </is>
      </c>
      <c r="E5" s="50" t="inlineStr">
        <is>
          <t>Due</t>
        </is>
      </c>
      <c r="F5" s="75">
        <f>$G$3+0</f>
        <v/>
      </c>
      <c r="G5" s="75">
        <f>$G$3+1</f>
        <v/>
      </c>
      <c r="H5" s="75">
        <f>$G$3+2</f>
        <v/>
      </c>
      <c r="I5" s="75">
        <f>$G$3+3</f>
        <v/>
      </c>
      <c r="J5" s="75">
        <f>$G$3+4</f>
        <v/>
      </c>
      <c r="K5" s="75">
        <f>$G$3+5</f>
        <v/>
      </c>
      <c r="L5" s="75">
        <f>$G$3+6</f>
        <v/>
      </c>
      <c r="M5" s="75">
        <f>$G$3+7</f>
        <v/>
      </c>
      <c r="N5" s="75">
        <f>$G$3+8</f>
        <v/>
      </c>
      <c r="O5" s="75">
        <f>$G$3+9</f>
        <v/>
      </c>
      <c r="P5" s="75">
        <f>$G$3+10</f>
        <v/>
      </c>
      <c r="Q5" s="75">
        <f>$G$3+11</f>
        <v/>
      </c>
      <c r="R5" s="75">
        <f>$G$3+12</f>
        <v/>
      </c>
      <c r="S5" s="75">
        <f>$G$3+13</f>
        <v/>
      </c>
      <c r="T5" s="75">
        <f>$G$3+14</f>
        <v/>
      </c>
      <c r="U5" s="75">
        <f>$G$3+15</f>
        <v/>
      </c>
      <c r="V5" s="75">
        <f>$G$3+16</f>
        <v/>
      </c>
      <c r="W5" s="75">
        <f>$G$3+17</f>
        <v/>
      </c>
      <c r="X5" s="75">
        <f>$G$3+18</f>
        <v/>
      </c>
      <c r="Y5" s="75">
        <f>$G$3+19</f>
        <v/>
      </c>
      <c r="Z5" s="75">
        <f>$G$3+20</f>
        <v/>
      </c>
      <c r="AA5" s="75">
        <f>$G$3+21</f>
        <v/>
      </c>
      <c r="AB5" s="75">
        <f>$G$3+22</f>
        <v/>
      </c>
      <c r="AC5" s="75">
        <f>$G$3+23</f>
        <v/>
      </c>
      <c r="AD5" s="75">
        <f>$G$3+24</f>
        <v/>
      </c>
      <c r="AE5" s="75">
        <f>$G$3+25</f>
        <v/>
      </c>
      <c r="AF5" s="75">
        <f>$G$3+26</f>
        <v/>
      </c>
      <c r="AG5" s="75">
        <f>$G$3+27</f>
        <v/>
      </c>
      <c r="AH5" s="75">
        <f>$G$3+28</f>
        <v/>
      </c>
      <c r="AI5" s="75">
        <f>$G$3+29</f>
        <v/>
      </c>
      <c r="AJ5" s="75">
        <f>$G$3+30</f>
        <v/>
      </c>
      <c r="AK5" s="75">
        <f>$G$3+31</f>
        <v/>
      </c>
      <c r="AL5" s="75">
        <f>$G$3+32</f>
        <v/>
      </c>
      <c r="AM5" s="75">
        <f>$G$3+33</f>
        <v/>
      </c>
      <c r="AN5" s="75">
        <f>$G$3+34</f>
        <v/>
      </c>
      <c r="AO5" s="75">
        <f>$G$3+35</f>
        <v/>
      </c>
      <c r="AP5" s="75">
        <f>$G$3+36</f>
        <v/>
      </c>
      <c r="AQ5" s="75">
        <f>$G$3+37</f>
        <v/>
      </c>
      <c r="AR5" s="75">
        <f>$G$3+38</f>
        <v/>
      </c>
      <c r="AS5" s="75">
        <f>$G$3+39</f>
        <v/>
      </c>
      <c r="AT5" s="75">
        <f>$G$3+40</f>
        <v/>
      </c>
      <c r="AU5" s="75">
        <f>$G$3+41</f>
        <v/>
      </c>
      <c r="AV5" s="75">
        <f>$G$3+42</f>
        <v/>
      </c>
      <c r="AW5" s="75">
        <f>$G$3+43</f>
        <v/>
      </c>
      <c r="AX5" s="75">
        <f>$G$3+44</f>
        <v/>
      </c>
      <c r="AY5" s="75">
        <f>$G$3+45</f>
        <v/>
      </c>
      <c r="AZ5" s="75">
        <f>$G$3+46</f>
        <v/>
      </c>
      <c r="BA5" s="75">
        <f>$G$3+47</f>
        <v/>
      </c>
      <c r="BB5" s="75">
        <f>$G$3+48</f>
        <v/>
      </c>
      <c r="BC5" s="75">
        <f>$G$3+49</f>
        <v/>
      </c>
      <c r="BD5" s="75">
        <f>$G$3+50</f>
        <v/>
      </c>
      <c r="BE5" s="75">
        <f>$G$3+51</f>
        <v/>
      </c>
      <c r="BF5" s="75">
        <f>$G$3+52</f>
        <v/>
      </c>
      <c r="BG5" s="75">
        <f>$G$3+53</f>
        <v/>
      </c>
      <c r="BH5" s="75">
        <f>$G$3+54</f>
        <v/>
      </c>
      <c r="BI5" s="75">
        <f>$G$3+55</f>
        <v/>
      </c>
      <c r="BJ5" s="75">
        <f>$G$3+56</f>
        <v/>
      </c>
      <c r="BK5" s="75">
        <f>$G$3+57</f>
        <v/>
      </c>
      <c r="BL5" s="75">
        <f>$G$3+58</f>
        <v/>
      </c>
      <c r="BM5" s="75">
        <f>$G$3+59</f>
        <v/>
      </c>
      <c r="BN5" s="75">
        <f>$G$3+60</f>
        <v/>
      </c>
      <c r="BO5" s="75">
        <f>$G$3+61</f>
        <v/>
      </c>
      <c r="BP5" s="75">
        <f>$G$3+62</f>
        <v/>
      </c>
      <c r="BQ5" s="75">
        <f>$G$3+63</f>
        <v/>
      </c>
      <c r="BR5" s="75">
        <f>$G$3+64</f>
        <v/>
      </c>
      <c r="BS5" s="75">
        <f>$G$3+65</f>
        <v/>
      </c>
      <c r="BT5" s="75">
        <f>$G$3+66</f>
        <v/>
      </c>
      <c r="BU5" s="75">
        <f>$G$3+67</f>
        <v/>
      </c>
      <c r="BV5" s="75">
        <f>$G$3+68</f>
        <v/>
      </c>
      <c r="BW5" s="75">
        <f>$G$3+69</f>
        <v/>
      </c>
      <c r="BX5" s="75">
        <f>$G$3+70</f>
        <v/>
      </c>
      <c r="BY5" s="75">
        <f>$G$3+71</f>
        <v/>
      </c>
      <c r="BZ5" s="75">
        <f>$G$3+72</f>
        <v/>
      </c>
      <c r="CA5" s="75">
        <f>$G$3+73</f>
        <v/>
      </c>
      <c r="CB5" s="75">
        <f>$G$3+74</f>
        <v/>
      </c>
      <c r="CC5" s="75">
        <f>$G$3+75</f>
        <v/>
      </c>
      <c r="CD5" s="75">
        <f>$G$3+76</f>
        <v/>
      </c>
      <c r="CE5" s="75">
        <f>$G$3+77</f>
        <v/>
      </c>
      <c r="CF5" s="75">
        <f>$G$3+78</f>
        <v/>
      </c>
      <c r="CG5" s="75">
        <f>$G$3+79</f>
        <v/>
      </c>
      <c r="CH5" s="75">
        <f>$G$3+80</f>
        <v/>
      </c>
      <c r="CI5" s="75">
        <f>$G$3+81</f>
        <v/>
      </c>
      <c r="CJ5" s="75">
        <f>$G$3+82</f>
        <v/>
      </c>
      <c r="CK5" s="75">
        <f>$G$3+83</f>
        <v/>
      </c>
    </row>
    <row r="6">
      <c r="A6" s="33">
        <f>IF(Tasks!$B6="","",Tasks!B6)</f>
        <v/>
      </c>
      <c r="B6" s="34">
        <f>IF(Tasks!$B6="","",Tasks!D6)</f>
        <v/>
      </c>
      <c r="C6" s="34">
        <f>IF(Tasks!$B6="","",Tasks!E6)</f>
        <v/>
      </c>
      <c r="D6" s="45">
        <f>IF(Tasks!$B6="","",Tasks!G6)</f>
        <v/>
      </c>
      <c r="E6" s="45">
        <f>IF(Tasks!$B6="","",Tasks!H6)</f>
        <v/>
      </c>
      <c r="F6" s="76" t="n"/>
      <c r="G6" s="76" t="n"/>
      <c r="H6" s="76" t="n"/>
      <c r="I6" s="76" t="n"/>
      <c r="J6" s="76" t="n"/>
      <c r="K6" s="76" t="n"/>
      <c r="L6" s="76" t="n"/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  <c r="V6" s="76" t="n"/>
      <c r="W6" s="76" t="n"/>
      <c r="X6" s="76" t="n"/>
      <c r="Y6" s="76" t="n"/>
      <c r="Z6" s="76" t="n"/>
      <c r="AA6" s="76" t="n"/>
      <c r="AB6" s="76" t="n"/>
      <c r="AC6" s="76" t="n"/>
      <c r="AD6" s="76" t="n"/>
      <c r="AE6" s="76" t="n"/>
      <c r="AF6" s="76" t="n"/>
      <c r="AG6" s="76" t="n"/>
      <c r="AH6" s="76" t="n"/>
      <c r="AI6" s="76" t="n"/>
      <c r="AJ6" s="76" t="n"/>
      <c r="AK6" s="76" t="n"/>
      <c r="AL6" s="76" t="n"/>
      <c r="AM6" s="76" t="n"/>
      <c r="AN6" s="76" t="n"/>
      <c r="AO6" s="76" t="n"/>
      <c r="AP6" s="76" t="n"/>
      <c r="AQ6" s="76" t="n"/>
      <c r="AR6" s="76" t="n"/>
      <c r="AS6" s="76" t="n"/>
      <c r="AT6" s="76" t="n"/>
      <c r="AU6" s="76" t="n"/>
      <c r="AV6" s="76" t="n"/>
      <c r="AW6" s="76" t="n"/>
      <c r="AX6" s="76" t="n"/>
      <c r="AY6" s="76" t="n"/>
      <c r="AZ6" s="76" t="n"/>
      <c r="BA6" s="76" t="n"/>
      <c r="BB6" s="76" t="n"/>
      <c r="BC6" s="76" t="n"/>
      <c r="BD6" s="76" t="n"/>
      <c r="BE6" s="76" t="n"/>
      <c r="BF6" s="76" t="n"/>
      <c r="BG6" s="76" t="n"/>
      <c r="BH6" s="76" t="n"/>
      <c r="BI6" s="76" t="n"/>
      <c r="BJ6" s="76" t="n"/>
      <c r="BK6" s="76" t="n"/>
      <c r="BL6" s="76" t="n"/>
      <c r="BM6" s="76" t="n"/>
      <c r="BN6" s="76" t="n"/>
      <c r="BO6" s="76" t="n"/>
      <c r="BP6" s="76" t="n"/>
      <c r="BQ6" s="76" t="n"/>
      <c r="BR6" s="76" t="n"/>
      <c r="BS6" s="76" t="n"/>
      <c r="BT6" s="76" t="n"/>
      <c r="BU6" s="76" t="n"/>
      <c r="BV6" s="76" t="n"/>
      <c r="BW6" s="76" t="n"/>
      <c r="BX6" s="76" t="n"/>
      <c r="BY6" s="76" t="n"/>
      <c r="BZ6" s="76" t="n"/>
      <c r="CA6" s="76" t="n"/>
      <c r="CB6" s="76" t="n"/>
      <c r="CC6" s="76" t="n"/>
      <c r="CD6" s="76" t="n"/>
      <c r="CE6" s="76" t="n"/>
      <c r="CF6" s="76" t="n"/>
      <c r="CG6" s="76" t="n"/>
      <c r="CH6" s="76" t="n"/>
      <c r="CI6" s="76" t="n"/>
      <c r="CJ6" s="76" t="n"/>
      <c r="CK6" s="76" t="n"/>
    </row>
    <row r="7">
      <c r="A7" s="33">
        <f>IF(Tasks!$B7="","",Tasks!B7)</f>
        <v/>
      </c>
      <c r="B7" s="34">
        <f>IF(Tasks!$B7="","",Tasks!D7)</f>
        <v/>
      </c>
      <c r="C7" s="34">
        <f>IF(Tasks!$B7="","",Tasks!E7)</f>
        <v/>
      </c>
      <c r="D7" s="45">
        <f>IF(Tasks!$B7="","",Tasks!G7)</f>
        <v/>
      </c>
      <c r="E7" s="45">
        <f>IF(Tasks!$B7="","",Tasks!H7)</f>
        <v/>
      </c>
      <c r="F7" s="76" t="n"/>
      <c r="G7" s="76" t="n"/>
      <c r="H7" s="76" t="n"/>
      <c r="I7" s="76" t="n"/>
      <c r="J7" s="76" t="n"/>
      <c r="K7" s="76" t="n"/>
      <c r="L7" s="76" t="n"/>
      <c r="M7" s="76" t="n"/>
      <c r="N7" s="76" t="n"/>
      <c r="O7" s="76" t="n"/>
      <c r="P7" s="76" t="n"/>
      <c r="Q7" s="76" t="n"/>
      <c r="R7" s="76" t="n"/>
      <c r="S7" s="76" t="n"/>
      <c r="T7" s="76" t="n"/>
      <c r="U7" s="76" t="n"/>
      <c r="V7" s="76" t="n"/>
      <c r="W7" s="76" t="n"/>
      <c r="X7" s="76" t="n"/>
      <c r="Y7" s="76" t="n"/>
      <c r="Z7" s="76" t="n"/>
      <c r="AA7" s="76" t="n"/>
      <c r="AB7" s="76" t="n"/>
      <c r="AC7" s="76" t="n"/>
      <c r="AD7" s="76" t="n"/>
      <c r="AE7" s="76" t="n"/>
      <c r="AF7" s="76" t="n"/>
      <c r="AG7" s="76" t="n"/>
      <c r="AH7" s="76" t="n"/>
      <c r="AI7" s="76" t="n"/>
      <c r="AJ7" s="76" t="n"/>
      <c r="AK7" s="76" t="n"/>
      <c r="AL7" s="76" t="n"/>
      <c r="AM7" s="76" t="n"/>
      <c r="AN7" s="76" t="n"/>
      <c r="AO7" s="76" t="n"/>
      <c r="AP7" s="76" t="n"/>
      <c r="AQ7" s="76" t="n"/>
      <c r="AR7" s="76" t="n"/>
      <c r="AS7" s="76" t="n"/>
      <c r="AT7" s="76" t="n"/>
      <c r="AU7" s="76" t="n"/>
      <c r="AV7" s="76" t="n"/>
      <c r="AW7" s="76" t="n"/>
      <c r="AX7" s="76" t="n"/>
      <c r="AY7" s="76" t="n"/>
      <c r="AZ7" s="76" t="n"/>
      <c r="BA7" s="76" t="n"/>
      <c r="BB7" s="76" t="n"/>
      <c r="BC7" s="76" t="n"/>
      <c r="BD7" s="76" t="n"/>
      <c r="BE7" s="76" t="n"/>
      <c r="BF7" s="76" t="n"/>
      <c r="BG7" s="76" t="n"/>
      <c r="BH7" s="76" t="n"/>
      <c r="BI7" s="76" t="n"/>
      <c r="BJ7" s="76" t="n"/>
      <c r="BK7" s="76" t="n"/>
      <c r="BL7" s="76" t="n"/>
      <c r="BM7" s="76" t="n"/>
      <c r="BN7" s="76" t="n"/>
      <c r="BO7" s="76" t="n"/>
      <c r="BP7" s="76" t="n"/>
      <c r="BQ7" s="76" t="n"/>
      <c r="BR7" s="76" t="n"/>
      <c r="BS7" s="76" t="n"/>
      <c r="BT7" s="76" t="n"/>
      <c r="BU7" s="76" t="n"/>
      <c r="BV7" s="76" t="n"/>
      <c r="BW7" s="76" t="n"/>
      <c r="BX7" s="76" t="n"/>
      <c r="BY7" s="76" t="n"/>
      <c r="BZ7" s="76" t="n"/>
      <c r="CA7" s="76" t="n"/>
      <c r="CB7" s="76" t="n"/>
      <c r="CC7" s="76" t="n"/>
      <c r="CD7" s="76" t="n"/>
      <c r="CE7" s="76" t="n"/>
      <c r="CF7" s="76" t="n"/>
      <c r="CG7" s="76" t="n"/>
      <c r="CH7" s="76" t="n"/>
      <c r="CI7" s="76" t="n"/>
      <c r="CJ7" s="76" t="n"/>
      <c r="CK7" s="76" t="n"/>
    </row>
    <row r="8">
      <c r="A8" s="33">
        <f>IF(Tasks!$B8="","",Tasks!B8)</f>
        <v/>
      </c>
      <c r="B8" s="34">
        <f>IF(Tasks!$B8="","",Tasks!D8)</f>
        <v/>
      </c>
      <c r="C8" s="34">
        <f>IF(Tasks!$B8="","",Tasks!E8)</f>
        <v/>
      </c>
      <c r="D8" s="45">
        <f>IF(Tasks!$B8="","",Tasks!G8)</f>
        <v/>
      </c>
      <c r="E8" s="45">
        <f>IF(Tasks!$B8="","",Tasks!H8)</f>
        <v/>
      </c>
      <c r="F8" s="76" t="n"/>
      <c r="G8" s="76" t="n"/>
      <c r="H8" s="76" t="n"/>
      <c r="I8" s="76" t="n"/>
      <c r="J8" s="76" t="n"/>
      <c r="K8" s="76" t="n"/>
      <c r="L8" s="76" t="n"/>
      <c r="M8" s="76" t="n"/>
      <c r="N8" s="76" t="n"/>
      <c r="O8" s="76" t="n"/>
      <c r="P8" s="76" t="n"/>
      <c r="Q8" s="76" t="n"/>
      <c r="R8" s="76" t="n"/>
      <c r="S8" s="76" t="n"/>
      <c r="T8" s="76" t="n"/>
      <c r="U8" s="76" t="n"/>
      <c r="V8" s="76" t="n"/>
      <c r="W8" s="76" t="n"/>
      <c r="X8" s="76" t="n"/>
      <c r="Y8" s="76" t="n"/>
      <c r="Z8" s="76" t="n"/>
      <c r="AA8" s="76" t="n"/>
      <c r="AB8" s="76" t="n"/>
      <c r="AC8" s="76" t="n"/>
      <c r="AD8" s="76" t="n"/>
      <c r="AE8" s="76" t="n"/>
      <c r="AF8" s="76" t="n"/>
      <c r="AG8" s="76" t="n"/>
      <c r="AH8" s="76" t="n"/>
      <c r="AI8" s="76" t="n"/>
      <c r="AJ8" s="76" t="n"/>
      <c r="AK8" s="76" t="n"/>
      <c r="AL8" s="76" t="n"/>
      <c r="AM8" s="76" t="n"/>
      <c r="AN8" s="76" t="n"/>
      <c r="AO8" s="76" t="n"/>
      <c r="AP8" s="76" t="n"/>
      <c r="AQ8" s="76" t="n"/>
      <c r="AR8" s="76" t="n"/>
      <c r="AS8" s="76" t="n"/>
      <c r="AT8" s="76" t="n"/>
      <c r="AU8" s="76" t="n"/>
      <c r="AV8" s="76" t="n"/>
      <c r="AW8" s="76" t="n"/>
      <c r="AX8" s="76" t="n"/>
      <c r="AY8" s="76" t="n"/>
      <c r="AZ8" s="76" t="n"/>
      <c r="BA8" s="76" t="n"/>
      <c r="BB8" s="76" t="n"/>
      <c r="BC8" s="76" t="n"/>
      <c r="BD8" s="76" t="n"/>
      <c r="BE8" s="76" t="n"/>
      <c r="BF8" s="76" t="n"/>
      <c r="BG8" s="76" t="n"/>
      <c r="BH8" s="76" t="n"/>
      <c r="BI8" s="76" t="n"/>
      <c r="BJ8" s="76" t="n"/>
      <c r="BK8" s="76" t="n"/>
      <c r="BL8" s="76" t="n"/>
      <c r="BM8" s="76" t="n"/>
      <c r="BN8" s="76" t="n"/>
      <c r="BO8" s="76" t="n"/>
      <c r="BP8" s="76" t="n"/>
      <c r="BQ8" s="76" t="n"/>
      <c r="BR8" s="76" t="n"/>
      <c r="BS8" s="76" t="n"/>
      <c r="BT8" s="76" t="n"/>
      <c r="BU8" s="76" t="n"/>
      <c r="BV8" s="76" t="n"/>
      <c r="BW8" s="76" t="n"/>
      <c r="BX8" s="76" t="n"/>
      <c r="BY8" s="76" t="n"/>
      <c r="BZ8" s="76" t="n"/>
      <c r="CA8" s="76" t="n"/>
      <c r="CB8" s="76" t="n"/>
      <c r="CC8" s="76" t="n"/>
      <c r="CD8" s="76" t="n"/>
      <c r="CE8" s="76" t="n"/>
      <c r="CF8" s="76" t="n"/>
      <c r="CG8" s="76" t="n"/>
      <c r="CH8" s="76" t="n"/>
      <c r="CI8" s="76" t="n"/>
      <c r="CJ8" s="76" t="n"/>
      <c r="CK8" s="76" t="n"/>
    </row>
    <row r="9">
      <c r="A9" s="33">
        <f>IF(Tasks!$B9="","",Tasks!B9)</f>
        <v/>
      </c>
      <c r="B9" s="34">
        <f>IF(Tasks!$B9="","",Tasks!D9)</f>
        <v/>
      </c>
      <c r="C9" s="34">
        <f>IF(Tasks!$B9="","",Tasks!E9)</f>
        <v/>
      </c>
      <c r="D9" s="45">
        <f>IF(Tasks!$B9="","",Tasks!G9)</f>
        <v/>
      </c>
      <c r="E9" s="45">
        <f>IF(Tasks!$B9="","",Tasks!H9)</f>
        <v/>
      </c>
      <c r="F9" s="76" t="n"/>
      <c r="G9" s="76" t="n"/>
      <c r="H9" s="76" t="n"/>
      <c r="I9" s="76" t="n"/>
      <c r="J9" s="76" t="n"/>
      <c r="K9" s="76" t="n"/>
      <c r="L9" s="76" t="n"/>
      <c r="M9" s="76" t="n"/>
      <c r="N9" s="76" t="n"/>
      <c r="O9" s="76" t="n"/>
      <c r="P9" s="76" t="n"/>
      <c r="Q9" s="76" t="n"/>
      <c r="R9" s="76" t="n"/>
      <c r="S9" s="76" t="n"/>
      <c r="T9" s="76" t="n"/>
      <c r="U9" s="76" t="n"/>
      <c r="V9" s="76" t="n"/>
      <c r="W9" s="76" t="n"/>
      <c r="X9" s="76" t="n"/>
      <c r="Y9" s="76" t="n"/>
      <c r="Z9" s="76" t="n"/>
      <c r="AA9" s="76" t="n"/>
      <c r="AB9" s="76" t="n"/>
      <c r="AC9" s="76" t="n"/>
      <c r="AD9" s="76" t="n"/>
      <c r="AE9" s="76" t="n"/>
      <c r="AF9" s="76" t="n"/>
      <c r="AG9" s="76" t="n"/>
      <c r="AH9" s="76" t="n"/>
      <c r="AI9" s="76" t="n"/>
      <c r="AJ9" s="76" t="n"/>
      <c r="AK9" s="76" t="n"/>
      <c r="AL9" s="76" t="n"/>
      <c r="AM9" s="76" t="n"/>
      <c r="AN9" s="76" t="n"/>
      <c r="AO9" s="76" t="n"/>
      <c r="AP9" s="76" t="n"/>
      <c r="AQ9" s="76" t="n"/>
      <c r="AR9" s="76" t="n"/>
      <c r="AS9" s="76" t="n"/>
      <c r="AT9" s="76" t="n"/>
      <c r="AU9" s="76" t="n"/>
      <c r="AV9" s="76" t="n"/>
      <c r="AW9" s="76" t="n"/>
      <c r="AX9" s="76" t="n"/>
      <c r="AY9" s="76" t="n"/>
      <c r="AZ9" s="76" t="n"/>
      <c r="BA9" s="76" t="n"/>
      <c r="BB9" s="76" t="n"/>
      <c r="BC9" s="76" t="n"/>
      <c r="BD9" s="76" t="n"/>
      <c r="BE9" s="76" t="n"/>
      <c r="BF9" s="76" t="n"/>
      <c r="BG9" s="76" t="n"/>
      <c r="BH9" s="76" t="n"/>
      <c r="BI9" s="76" t="n"/>
      <c r="BJ9" s="76" t="n"/>
      <c r="BK9" s="76" t="n"/>
      <c r="BL9" s="76" t="n"/>
      <c r="BM9" s="76" t="n"/>
      <c r="BN9" s="76" t="n"/>
      <c r="BO9" s="76" t="n"/>
      <c r="BP9" s="76" t="n"/>
      <c r="BQ9" s="76" t="n"/>
      <c r="BR9" s="76" t="n"/>
      <c r="BS9" s="76" t="n"/>
      <c r="BT9" s="76" t="n"/>
      <c r="BU9" s="76" t="n"/>
      <c r="BV9" s="76" t="n"/>
      <c r="BW9" s="76" t="n"/>
      <c r="BX9" s="76" t="n"/>
      <c r="BY9" s="76" t="n"/>
      <c r="BZ9" s="76" t="n"/>
      <c r="CA9" s="76" t="n"/>
      <c r="CB9" s="76" t="n"/>
      <c r="CC9" s="76" t="n"/>
      <c r="CD9" s="76" t="n"/>
      <c r="CE9" s="76" t="n"/>
      <c r="CF9" s="76" t="n"/>
      <c r="CG9" s="76" t="n"/>
      <c r="CH9" s="76" t="n"/>
      <c r="CI9" s="76" t="n"/>
      <c r="CJ9" s="76" t="n"/>
      <c r="CK9" s="76" t="n"/>
    </row>
    <row r="10">
      <c r="A10" s="33">
        <f>IF(Tasks!$B10="","",Tasks!B10)</f>
        <v/>
      </c>
      <c r="B10" s="34">
        <f>IF(Tasks!$B10="","",Tasks!D10)</f>
        <v/>
      </c>
      <c r="C10" s="34">
        <f>IF(Tasks!$B10="","",Tasks!E10)</f>
        <v/>
      </c>
      <c r="D10" s="45">
        <f>IF(Tasks!$B10="","",Tasks!G10)</f>
        <v/>
      </c>
      <c r="E10" s="45">
        <f>IF(Tasks!$B10="","",Tasks!H10)</f>
        <v/>
      </c>
      <c r="F10" s="76" t="n"/>
      <c r="G10" s="76" t="n"/>
      <c r="H10" s="76" t="n"/>
      <c r="I10" s="76" t="n"/>
      <c r="J10" s="76" t="n"/>
      <c r="K10" s="76" t="n"/>
      <c r="L10" s="76" t="n"/>
      <c r="M10" s="76" t="n"/>
      <c r="N10" s="76" t="n"/>
      <c r="O10" s="76" t="n"/>
      <c r="P10" s="76" t="n"/>
      <c r="Q10" s="76" t="n"/>
      <c r="R10" s="76" t="n"/>
      <c r="S10" s="76" t="n"/>
      <c r="T10" s="76" t="n"/>
      <c r="U10" s="76" t="n"/>
      <c r="V10" s="76" t="n"/>
      <c r="W10" s="76" t="n"/>
      <c r="X10" s="76" t="n"/>
      <c r="Y10" s="76" t="n"/>
      <c r="Z10" s="76" t="n"/>
      <c r="AA10" s="76" t="n"/>
      <c r="AB10" s="76" t="n"/>
      <c r="AC10" s="76" t="n"/>
      <c r="AD10" s="76" t="n"/>
      <c r="AE10" s="76" t="n"/>
      <c r="AF10" s="76" t="n"/>
      <c r="AG10" s="76" t="n"/>
      <c r="AH10" s="76" t="n"/>
      <c r="AI10" s="76" t="n"/>
      <c r="AJ10" s="76" t="n"/>
      <c r="AK10" s="76" t="n"/>
      <c r="AL10" s="76" t="n"/>
      <c r="AM10" s="76" t="n"/>
      <c r="AN10" s="76" t="n"/>
      <c r="AO10" s="76" t="n"/>
      <c r="AP10" s="76" t="n"/>
      <c r="AQ10" s="76" t="n"/>
      <c r="AR10" s="76" t="n"/>
      <c r="AS10" s="76" t="n"/>
      <c r="AT10" s="76" t="n"/>
      <c r="AU10" s="76" t="n"/>
      <c r="AV10" s="76" t="n"/>
      <c r="AW10" s="76" t="n"/>
      <c r="AX10" s="76" t="n"/>
      <c r="AY10" s="76" t="n"/>
      <c r="AZ10" s="76" t="n"/>
      <c r="BA10" s="76" t="n"/>
      <c r="BB10" s="76" t="n"/>
      <c r="BC10" s="76" t="n"/>
      <c r="BD10" s="76" t="n"/>
      <c r="BE10" s="76" t="n"/>
      <c r="BF10" s="76" t="n"/>
      <c r="BG10" s="76" t="n"/>
      <c r="BH10" s="76" t="n"/>
      <c r="BI10" s="76" t="n"/>
      <c r="BJ10" s="76" t="n"/>
      <c r="BK10" s="76" t="n"/>
      <c r="BL10" s="76" t="n"/>
      <c r="BM10" s="76" t="n"/>
      <c r="BN10" s="76" t="n"/>
      <c r="BO10" s="76" t="n"/>
      <c r="BP10" s="76" t="n"/>
      <c r="BQ10" s="76" t="n"/>
      <c r="BR10" s="76" t="n"/>
      <c r="BS10" s="76" t="n"/>
      <c r="BT10" s="76" t="n"/>
      <c r="BU10" s="76" t="n"/>
      <c r="BV10" s="76" t="n"/>
      <c r="BW10" s="76" t="n"/>
      <c r="BX10" s="76" t="n"/>
      <c r="BY10" s="76" t="n"/>
      <c r="BZ10" s="76" t="n"/>
      <c r="CA10" s="76" t="n"/>
      <c r="CB10" s="76" t="n"/>
      <c r="CC10" s="76" t="n"/>
      <c r="CD10" s="76" t="n"/>
      <c r="CE10" s="76" t="n"/>
      <c r="CF10" s="76" t="n"/>
      <c r="CG10" s="76" t="n"/>
      <c r="CH10" s="76" t="n"/>
      <c r="CI10" s="76" t="n"/>
      <c r="CJ10" s="76" t="n"/>
      <c r="CK10" s="76" t="n"/>
    </row>
    <row r="11">
      <c r="A11" s="33">
        <f>IF(Tasks!$B11="","",Tasks!B11)</f>
        <v/>
      </c>
      <c r="B11" s="34">
        <f>IF(Tasks!$B11="","",Tasks!D11)</f>
        <v/>
      </c>
      <c r="C11" s="34">
        <f>IF(Tasks!$B11="","",Tasks!E11)</f>
        <v/>
      </c>
      <c r="D11" s="45">
        <f>IF(Tasks!$B11="","",Tasks!G11)</f>
        <v/>
      </c>
      <c r="E11" s="45">
        <f>IF(Tasks!$B11="","",Tasks!H11)</f>
        <v/>
      </c>
      <c r="F11" s="76" t="n"/>
      <c r="G11" s="76" t="n"/>
      <c r="H11" s="76" t="n"/>
      <c r="I11" s="76" t="n"/>
      <c r="J11" s="76" t="n"/>
      <c r="K11" s="76" t="n"/>
      <c r="L11" s="76" t="n"/>
      <c r="M11" s="76" t="n"/>
      <c r="N11" s="76" t="n"/>
      <c r="O11" s="76" t="n"/>
      <c r="P11" s="76" t="n"/>
      <c r="Q11" s="76" t="n"/>
      <c r="R11" s="76" t="n"/>
      <c r="S11" s="76" t="n"/>
      <c r="T11" s="76" t="n"/>
      <c r="U11" s="76" t="n"/>
      <c r="V11" s="76" t="n"/>
      <c r="W11" s="76" t="n"/>
      <c r="X11" s="76" t="n"/>
      <c r="Y11" s="76" t="n"/>
      <c r="Z11" s="76" t="n"/>
      <c r="AA11" s="76" t="n"/>
      <c r="AB11" s="76" t="n"/>
      <c r="AC11" s="76" t="n"/>
      <c r="AD11" s="76" t="n"/>
      <c r="AE11" s="76" t="n"/>
      <c r="AF11" s="76" t="n"/>
      <c r="AG11" s="76" t="n"/>
      <c r="AH11" s="76" t="n"/>
      <c r="AI11" s="76" t="n"/>
      <c r="AJ11" s="76" t="n"/>
      <c r="AK11" s="76" t="n"/>
      <c r="AL11" s="76" t="n"/>
      <c r="AM11" s="76" t="n"/>
      <c r="AN11" s="76" t="n"/>
      <c r="AO11" s="76" t="n"/>
      <c r="AP11" s="76" t="n"/>
      <c r="AQ11" s="76" t="n"/>
      <c r="AR11" s="76" t="n"/>
      <c r="AS11" s="76" t="n"/>
      <c r="AT11" s="76" t="n"/>
      <c r="AU11" s="76" t="n"/>
      <c r="AV11" s="76" t="n"/>
      <c r="AW11" s="76" t="n"/>
      <c r="AX11" s="76" t="n"/>
      <c r="AY11" s="76" t="n"/>
      <c r="AZ11" s="76" t="n"/>
      <c r="BA11" s="76" t="n"/>
      <c r="BB11" s="76" t="n"/>
      <c r="BC11" s="76" t="n"/>
      <c r="BD11" s="76" t="n"/>
      <c r="BE11" s="76" t="n"/>
      <c r="BF11" s="76" t="n"/>
      <c r="BG11" s="76" t="n"/>
      <c r="BH11" s="76" t="n"/>
      <c r="BI11" s="76" t="n"/>
      <c r="BJ11" s="76" t="n"/>
      <c r="BK11" s="76" t="n"/>
      <c r="BL11" s="76" t="n"/>
      <c r="BM11" s="76" t="n"/>
      <c r="BN11" s="76" t="n"/>
      <c r="BO11" s="76" t="n"/>
      <c r="BP11" s="76" t="n"/>
      <c r="BQ11" s="76" t="n"/>
      <c r="BR11" s="76" t="n"/>
      <c r="BS11" s="76" t="n"/>
      <c r="BT11" s="76" t="n"/>
      <c r="BU11" s="76" t="n"/>
      <c r="BV11" s="76" t="n"/>
      <c r="BW11" s="76" t="n"/>
      <c r="BX11" s="76" t="n"/>
      <c r="BY11" s="76" t="n"/>
      <c r="BZ11" s="76" t="n"/>
      <c r="CA11" s="76" t="n"/>
      <c r="CB11" s="76" t="n"/>
      <c r="CC11" s="76" t="n"/>
      <c r="CD11" s="76" t="n"/>
      <c r="CE11" s="76" t="n"/>
      <c r="CF11" s="76" t="n"/>
      <c r="CG11" s="76" t="n"/>
      <c r="CH11" s="76" t="n"/>
      <c r="CI11" s="76" t="n"/>
      <c r="CJ11" s="76" t="n"/>
      <c r="CK11" s="76" t="n"/>
    </row>
    <row r="12">
      <c r="A12" s="33">
        <f>IF(Tasks!$B12="","",Tasks!B12)</f>
        <v/>
      </c>
      <c r="B12" s="34">
        <f>IF(Tasks!$B12="","",Tasks!D12)</f>
        <v/>
      </c>
      <c r="C12" s="34">
        <f>IF(Tasks!$B12="","",Tasks!E12)</f>
        <v/>
      </c>
      <c r="D12" s="45">
        <f>IF(Tasks!$B12="","",Tasks!G12)</f>
        <v/>
      </c>
      <c r="E12" s="45">
        <f>IF(Tasks!$B12="","",Tasks!H12)</f>
        <v/>
      </c>
      <c r="F12" s="76" t="n"/>
      <c r="G12" s="76" t="n"/>
      <c r="H12" s="76" t="n"/>
      <c r="I12" s="76" t="n"/>
      <c r="J12" s="76" t="n"/>
      <c r="K12" s="76" t="n"/>
      <c r="L12" s="76" t="n"/>
      <c r="M12" s="76" t="n"/>
      <c r="N12" s="76" t="n"/>
      <c r="O12" s="76" t="n"/>
      <c r="P12" s="76" t="n"/>
      <c r="Q12" s="76" t="n"/>
      <c r="R12" s="76" t="n"/>
      <c r="S12" s="76" t="n"/>
      <c r="T12" s="76" t="n"/>
      <c r="U12" s="76" t="n"/>
      <c r="V12" s="76" t="n"/>
      <c r="W12" s="76" t="n"/>
      <c r="X12" s="76" t="n"/>
      <c r="Y12" s="76" t="n"/>
      <c r="Z12" s="76" t="n"/>
      <c r="AA12" s="76" t="n"/>
      <c r="AB12" s="76" t="n"/>
      <c r="AC12" s="76" t="n"/>
      <c r="AD12" s="76" t="n"/>
      <c r="AE12" s="76" t="n"/>
      <c r="AF12" s="76" t="n"/>
      <c r="AG12" s="76" t="n"/>
      <c r="AH12" s="76" t="n"/>
      <c r="AI12" s="76" t="n"/>
      <c r="AJ12" s="76" t="n"/>
      <c r="AK12" s="76" t="n"/>
      <c r="AL12" s="76" t="n"/>
      <c r="AM12" s="76" t="n"/>
      <c r="AN12" s="76" t="n"/>
      <c r="AO12" s="76" t="n"/>
      <c r="AP12" s="76" t="n"/>
      <c r="AQ12" s="76" t="n"/>
      <c r="AR12" s="76" t="n"/>
      <c r="AS12" s="76" t="n"/>
      <c r="AT12" s="76" t="n"/>
      <c r="AU12" s="76" t="n"/>
      <c r="AV12" s="76" t="n"/>
      <c r="AW12" s="76" t="n"/>
      <c r="AX12" s="76" t="n"/>
      <c r="AY12" s="76" t="n"/>
      <c r="AZ12" s="76" t="n"/>
      <c r="BA12" s="76" t="n"/>
      <c r="BB12" s="76" t="n"/>
      <c r="BC12" s="76" t="n"/>
      <c r="BD12" s="76" t="n"/>
      <c r="BE12" s="76" t="n"/>
      <c r="BF12" s="76" t="n"/>
      <c r="BG12" s="76" t="n"/>
      <c r="BH12" s="76" t="n"/>
      <c r="BI12" s="76" t="n"/>
      <c r="BJ12" s="76" t="n"/>
      <c r="BK12" s="76" t="n"/>
      <c r="BL12" s="76" t="n"/>
      <c r="BM12" s="76" t="n"/>
      <c r="BN12" s="76" t="n"/>
      <c r="BO12" s="76" t="n"/>
      <c r="BP12" s="76" t="n"/>
      <c r="BQ12" s="76" t="n"/>
      <c r="BR12" s="76" t="n"/>
      <c r="BS12" s="76" t="n"/>
      <c r="BT12" s="76" t="n"/>
      <c r="BU12" s="76" t="n"/>
      <c r="BV12" s="76" t="n"/>
      <c r="BW12" s="76" t="n"/>
      <c r="BX12" s="76" t="n"/>
      <c r="BY12" s="76" t="n"/>
      <c r="BZ12" s="76" t="n"/>
      <c r="CA12" s="76" t="n"/>
      <c r="CB12" s="76" t="n"/>
      <c r="CC12" s="76" t="n"/>
      <c r="CD12" s="76" t="n"/>
      <c r="CE12" s="76" t="n"/>
      <c r="CF12" s="76" t="n"/>
      <c r="CG12" s="76" t="n"/>
      <c r="CH12" s="76" t="n"/>
      <c r="CI12" s="76" t="n"/>
      <c r="CJ12" s="76" t="n"/>
      <c r="CK12" s="76" t="n"/>
    </row>
    <row r="13">
      <c r="A13" s="33">
        <f>IF(Tasks!$B13="","",Tasks!B13)</f>
        <v/>
      </c>
      <c r="B13" s="34">
        <f>IF(Tasks!$B13="","",Tasks!D13)</f>
        <v/>
      </c>
      <c r="C13" s="34">
        <f>IF(Tasks!$B13="","",Tasks!E13)</f>
        <v/>
      </c>
      <c r="D13" s="45">
        <f>IF(Tasks!$B13="","",Tasks!G13)</f>
        <v/>
      </c>
      <c r="E13" s="45">
        <f>IF(Tasks!$B13="","",Tasks!H13)</f>
        <v/>
      </c>
      <c r="F13" s="76" t="n"/>
      <c r="G13" s="76" t="n"/>
      <c r="H13" s="76" t="n"/>
      <c r="I13" s="76" t="n"/>
      <c r="J13" s="76" t="n"/>
      <c r="K13" s="76" t="n"/>
      <c r="L13" s="76" t="n"/>
      <c r="M13" s="76" t="n"/>
      <c r="N13" s="76" t="n"/>
      <c r="O13" s="76" t="n"/>
      <c r="P13" s="76" t="n"/>
      <c r="Q13" s="76" t="n"/>
      <c r="R13" s="76" t="n"/>
      <c r="S13" s="76" t="n"/>
      <c r="T13" s="76" t="n"/>
      <c r="U13" s="76" t="n"/>
      <c r="V13" s="76" t="n"/>
      <c r="W13" s="76" t="n"/>
      <c r="X13" s="76" t="n"/>
      <c r="Y13" s="76" t="n"/>
      <c r="Z13" s="76" t="n"/>
      <c r="AA13" s="76" t="n"/>
      <c r="AB13" s="76" t="n"/>
      <c r="AC13" s="76" t="n"/>
      <c r="AD13" s="76" t="n"/>
      <c r="AE13" s="76" t="n"/>
      <c r="AF13" s="76" t="n"/>
      <c r="AG13" s="76" t="n"/>
      <c r="AH13" s="76" t="n"/>
      <c r="AI13" s="76" t="n"/>
      <c r="AJ13" s="76" t="n"/>
      <c r="AK13" s="76" t="n"/>
      <c r="AL13" s="76" t="n"/>
      <c r="AM13" s="76" t="n"/>
      <c r="AN13" s="76" t="n"/>
      <c r="AO13" s="76" t="n"/>
      <c r="AP13" s="76" t="n"/>
      <c r="AQ13" s="76" t="n"/>
      <c r="AR13" s="76" t="n"/>
      <c r="AS13" s="76" t="n"/>
      <c r="AT13" s="76" t="n"/>
      <c r="AU13" s="76" t="n"/>
      <c r="AV13" s="76" t="n"/>
      <c r="AW13" s="76" t="n"/>
      <c r="AX13" s="76" t="n"/>
      <c r="AY13" s="76" t="n"/>
      <c r="AZ13" s="76" t="n"/>
      <c r="BA13" s="76" t="n"/>
      <c r="BB13" s="76" t="n"/>
      <c r="BC13" s="76" t="n"/>
      <c r="BD13" s="76" t="n"/>
      <c r="BE13" s="76" t="n"/>
      <c r="BF13" s="76" t="n"/>
      <c r="BG13" s="76" t="n"/>
      <c r="BH13" s="76" t="n"/>
      <c r="BI13" s="76" t="n"/>
      <c r="BJ13" s="76" t="n"/>
      <c r="BK13" s="76" t="n"/>
      <c r="BL13" s="76" t="n"/>
      <c r="BM13" s="76" t="n"/>
      <c r="BN13" s="76" t="n"/>
      <c r="BO13" s="76" t="n"/>
      <c r="BP13" s="76" t="n"/>
      <c r="BQ13" s="76" t="n"/>
      <c r="BR13" s="76" t="n"/>
      <c r="BS13" s="76" t="n"/>
      <c r="BT13" s="76" t="n"/>
      <c r="BU13" s="76" t="n"/>
      <c r="BV13" s="76" t="n"/>
      <c r="BW13" s="76" t="n"/>
      <c r="BX13" s="76" t="n"/>
      <c r="BY13" s="76" t="n"/>
      <c r="BZ13" s="76" t="n"/>
      <c r="CA13" s="76" t="n"/>
      <c r="CB13" s="76" t="n"/>
      <c r="CC13" s="76" t="n"/>
      <c r="CD13" s="76" t="n"/>
      <c r="CE13" s="76" t="n"/>
      <c r="CF13" s="76" t="n"/>
      <c r="CG13" s="76" t="n"/>
      <c r="CH13" s="76" t="n"/>
      <c r="CI13" s="76" t="n"/>
      <c r="CJ13" s="76" t="n"/>
      <c r="CK13" s="76" t="n"/>
    </row>
    <row r="14">
      <c r="A14" s="33">
        <f>IF(Tasks!$B14="","",Tasks!B14)</f>
        <v/>
      </c>
      <c r="B14" s="34">
        <f>IF(Tasks!$B14="","",Tasks!D14)</f>
        <v/>
      </c>
      <c r="C14" s="34">
        <f>IF(Tasks!$B14="","",Tasks!E14)</f>
        <v/>
      </c>
      <c r="D14" s="45">
        <f>IF(Tasks!$B14="","",Tasks!G14)</f>
        <v/>
      </c>
      <c r="E14" s="45">
        <f>IF(Tasks!$B14="","",Tasks!H14)</f>
        <v/>
      </c>
      <c r="F14" s="76" t="n"/>
      <c r="G14" s="76" t="n"/>
      <c r="H14" s="76" t="n"/>
      <c r="I14" s="76" t="n"/>
      <c r="J14" s="76" t="n"/>
      <c r="K14" s="76" t="n"/>
      <c r="L14" s="76" t="n"/>
      <c r="M14" s="76" t="n"/>
      <c r="N14" s="76" t="n"/>
      <c r="O14" s="76" t="n"/>
      <c r="P14" s="76" t="n"/>
      <c r="Q14" s="76" t="n"/>
      <c r="R14" s="76" t="n"/>
      <c r="S14" s="76" t="n"/>
      <c r="T14" s="76" t="n"/>
      <c r="U14" s="76" t="n"/>
      <c r="V14" s="76" t="n"/>
      <c r="W14" s="76" t="n"/>
      <c r="X14" s="76" t="n"/>
      <c r="Y14" s="76" t="n"/>
      <c r="Z14" s="76" t="n"/>
      <c r="AA14" s="76" t="n"/>
      <c r="AB14" s="76" t="n"/>
      <c r="AC14" s="76" t="n"/>
      <c r="AD14" s="76" t="n"/>
      <c r="AE14" s="76" t="n"/>
      <c r="AF14" s="76" t="n"/>
      <c r="AG14" s="76" t="n"/>
      <c r="AH14" s="76" t="n"/>
      <c r="AI14" s="76" t="n"/>
      <c r="AJ14" s="76" t="n"/>
      <c r="AK14" s="76" t="n"/>
      <c r="AL14" s="76" t="n"/>
      <c r="AM14" s="76" t="n"/>
      <c r="AN14" s="76" t="n"/>
      <c r="AO14" s="76" t="n"/>
      <c r="AP14" s="76" t="n"/>
      <c r="AQ14" s="76" t="n"/>
      <c r="AR14" s="76" t="n"/>
      <c r="AS14" s="76" t="n"/>
      <c r="AT14" s="76" t="n"/>
      <c r="AU14" s="76" t="n"/>
      <c r="AV14" s="76" t="n"/>
      <c r="AW14" s="76" t="n"/>
      <c r="AX14" s="76" t="n"/>
      <c r="AY14" s="76" t="n"/>
      <c r="AZ14" s="76" t="n"/>
      <c r="BA14" s="76" t="n"/>
      <c r="BB14" s="76" t="n"/>
      <c r="BC14" s="76" t="n"/>
      <c r="BD14" s="76" t="n"/>
      <c r="BE14" s="76" t="n"/>
      <c r="BF14" s="76" t="n"/>
      <c r="BG14" s="76" t="n"/>
      <c r="BH14" s="76" t="n"/>
      <c r="BI14" s="76" t="n"/>
      <c r="BJ14" s="76" t="n"/>
      <c r="BK14" s="76" t="n"/>
      <c r="BL14" s="76" t="n"/>
      <c r="BM14" s="76" t="n"/>
      <c r="BN14" s="76" t="n"/>
      <c r="BO14" s="76" t="n"/>
      <c r="BP14" s="76" t="n"/>
      <c r="BQ14" s="76" t="n"/>
      <c r="BR14" s="76" t="n"/>
      <c r="BS14" s="76" t="n"/>
      <c r="BT14" s="76" t="n"/>
      <c r="BU14" s="76" t="n"/>
      <c r="BV14" s="76" t="n"/>
      <c r="BW14" s="76" t="n"/>
      <c r="BX14" s="76" t="n"/>
      <c r="BY14" s="76" t="n"/>
      <c r="BZ14" s="76" t="n"/>
      <c r="CA14" s="76" t="n"/>
      <c r="CB14" s="76" t="n"/>
      <c r="CC14" s="76" t="n"/>
      <c r="CD14" s="76" t="n"/>
      <c r="CE14" s="76" t="n"/>
      <c r="CF14" s="76" t="n"/>
      <c r="CG14" s="76" t="n"/>
      <c r="CH14" s="76" t="n"/>
      <c r="CI14" s="76" t="n"/>
      <c r="CJ14" s="76" t="n"/>
      <c r="CK14" s="76" t="n"/>
    </row>
    <row r="15">
      <c r="A15" s="33">
        <f>IF(Tasks!$B15="","",Tasks!B15)</f>
        <v/>
      </c>
      <c r="B15" s="34">
        <f>IF(Tasks!$B15="","",Tasks!D15)</f>
        <v/>
      </c>
      <c r="C15" s="34">
        <f>IF(Tasks!$B15="","",Tasks!E15)</f>
        <v/>
      </c>
      <c r="D15" s="45">
        <f>IF(Tasks!$B15="","",Tasks!G15)</f>
        <v/>
      </c>
      <c r="E15" s="45">
        <f>IF(Tasks!$B15="","",Tasks!H15)</f>
        <v/>
      </c>
      <c r="F15" s="76" t="n"/>
      <c r="G15" s="76" t="n"/>
      <c r="H15" s="76" t="n"/>
      <c r="I15" s="76" t="n"/>
      <c r="J15" s="76" t="n"/>
      <c r="K15" s="76" t="n"/>
      <c r="L15" s="76" t="n"/>
      <c r="M15" s="76" t="n"/>
      <c r="N15" s="76" t="n"/>
      <c r="O15" s="76" t="n"/>
      <c r="P15" s="76" t="n"/>
      <c r="Q15" s="76" t="n"/>
      <c r="R15" s="76" t="n"/>
      <c r="S15" s="76" t="n"/>
      <c r="T15" s="76" t="n"/>
      <c r="U15" s="76" t="n"/>
      <c r="V15" s="76" t="n"/>
      <c r="W15" s="76" t="n"/>
      <c r="X15" s="76" t="n"/>
      <c r="Y15" s="76" t="n"/>
      <c r="Z15" s="76" t="n"/>
      <c r="AA15" s="76" t="n"/>
      <c r="AB15" s="76" t="n"/>
      <c r="AC15" s="76" t="n"/>
      <c r="AD15" s="76" t="n"/>
      <c r="AE15" s="76" t="n"/>
      <c r="AF15" s="76" t="n"/>
      <c r="AG15" s="76" t="n"/>
      <c r="AH15" s="76" t="n"/>
      <c r="AI15" s="76" t="n"/>
      <c r="AJ15" s="76" t="n"/>
      <c r="AK15" s="76" t="n"/>
      <c r="AL15" s="76" t="n"/>
      <c r="AM15" s="76" t="n"/>
      <c r="AN15" s="76" t="n"/>
      <c r="AO15" s="76" t="n"/>
      <c r="AP15" s="76" t="n"/>
      <c r="AQ15" s="76" t="n"/>
      <c r="AR15" s="76" t="n"/>
      <c r="AS15" s="76" t="n"/>
      <c r="AT15" s="76" t="n"/>
      <c r="AU15" s="76" t="n"/>
      <c r="AV15" s="76" t="n"/>
      <c r="AW15" s="76" t="n"/>
      <c r="AX15" s="76" t="n"/>
      <c r="AY15" s="76" t="n"/>
      <c r="AZ15" s="76" t="n"/>
      <c r="BA15" s="76" t="n"/>
      <c r="BB15" s="76" t="n"/>
      <c r="BC15" s="76" t="n"/>
      <c r="BD15" s="76" t="n"/>
      <c r="BE15" s="76" t="n"/>
      <c r="BF15" s="76" t="n"/>
      <c r="BG15" s="76" t="n"/>
      <c r="BH15" s="76" t="n"/>
      <c r="BI15" s="76" t="n"/>
      <c r="BJ15" s="76" t="n"/>
      <c r="BK15" s="76" t="n"/>
      <c r="BL15" s="76" t="n"/>
      <c r="BM15" s="76" t="n"/>
      <c r="BN15" s="76" t="n"/>
      <c r="BO15" s="76" t="n"/>
      <c r="BP15" s="76" t="n"/>
      <c r="BQ15" s="76" t="n"/>
      <c r="BR15" s="76" t="n"/>
      <c r="BS15" s="76" t="n"/>
      <c r="BT15" s="76" t="n"/>
      <c r="BU15" s="76" t="n"/>
      <c r="BV15" s="76" t="n"/>
      <c r="BW15" s="76" t="n"/>
      <c r="BX15" s="76" t="n"/>
      <c r="BY15" s="76" t="n"/>
      <c r="BZ15" s="76" t="n"/>
      <c r="CA15" s="76" t="n"/>
      <c r="CB15" s="76" t="n"/>
      <c r="CC15" s="76" t="n"/>
      <c r="CD15" s="76" t="n"/>
      <c r="CE15" s="76" t="n"/>
      <c r="CF15" s="76" t="n"/>
      <c r="CG15" s="76" t="n"/>
      <c r="CH15" s="76" t="n"/>
      <c r="CI15" s="76" t="n"/>
      <c r="CJ15" s="76" t="n"/>
      <c r="CK15" s="76" t="n"/>
    </row>
    <row r="16">
      <c r="A16" s="33">
        <f>IF(Tasks!$B16="","",Tasks!B16)</f>
        <v/>
      </c>
      <c r="B16" s="34">
        <f>IF(Tasks!$B16="","",Tasks!D16)</f>
        <v/>
      </c>
      <c r="C16" s="34">
        <f>IF(Tasks!$B16="","",Tasks!E16)</f>
        <v/>
      </c>
      <c r="D16" s="45">
        <f>IF(Tasks!$B16="","",Tasks!G16)</f>
        <v/>
      </c>
      <c r="E16" s="45">
        <f>IF(Tasks!$B16="","",Tasks!H16)</f>
        <v/>
      </c>
      <c r="F16" s="76" t="n"/>
      <c r="G16" s="76" t="n"/>
      <c r="H16" s="76" t="n"/>
      <c r="I16" s="76" t="n"/>
      <c r="J16" s="76" t="n"/>
      <c r="K16" s="76" t="n"/>
      <c r="L16" s="76" t="n"/>
      <c r="M16" s="76" t="n"/>
      <c r="N16" s="76" t="n"/>
      <c r="O16" s="76" t="n"/>
      <c r="P16" s="76" t="n"/>
      <c r="Q16" s="76" t="n"/>
      <c r="R16" s="76" t="n"/>
      <c r="S16" s="76" t="n"/>
      <c r="T16" s="76" t="n"/>
      <c r="U16" s="76" t="n"/>
      <c r="V16" s="76" t="n"/>
      <c r="W16" s="76" t="n"/>
      <c r="X16" s="76" t="n"/>
      <c r="Y16" s="76" t="n"/>
      <c r="Z16" s="76" t="n"/>
      <c r="AA16" s="76" t="n"/>
      <c r="AB16" s="76" t="n"/>
      <c r="AC16" s="76" t="n"/>
      <c r="AD16" s="76" t="n"/>
      <c r="AE16" s="76" t="n"/>
      <c r="AF16" s="76" t="n"/>
      <c r="AG16" s="76" t="n"/>
      <c r="AH16" s="76" t="n"/>
      <c r="AI16" s="76" t="n"/>
      <c r="AJ16" s="76" t="n"/>
      <c r="AK16" s="76" t="n"/>
      <c r="AL16" s="76" t="n"/>
      <c r="AM16" s="76" t="n"/>
      <c r="AN16" s="76" t="n"/>
      <c r="AO16" s="76" t="n"/>
      <c r="AP16" s="76" t="n"/>
      <c r="AQ16" s="76" t="n"/>
      <c r="AR16" s="76" t="n"/>
      <c r="AS16" s="76" t="n"/>
      <c r="AT16" s="76" t="n"/>
      <c r="AU16" s="76" t="n"/>
      <c r="AV16" s="76" t="n"/>
      <c r="AW16" s="76" t="n"/>
      <c r="AX16" s="76" t="n"/>
      <c r="AY16" s="76" t="n"/>
      <c r="AZ16" s="76" t="n"/>
      <c r="BA16" s="76" t="n"/>
      <c r="BB16" s="76" t="n"/>
      <c r="BC16" s="76" t="n"/>
      <c r="BD16" s="76" t="n"/>
      <c r="BE16" s="76" t="n"/>
      <c r="BF16" s="76" t="n"/>
      <c r="BG16" s="76" t="n"/>
      <c r="BH16" s="76" t="n"/>
      <c r="BI16" s="76" t="n"/>
      <c r="BJ16" s="76" t="n"/>
      <c r="BK16" s="76" t="n"/>
      <c r="BL16" s="76" t="n"/>
      <c r="BM16" s="76" t="n"/>
      <c r="BN16" s="76" t="n"/>
      <c r="BO16" s="76" t="n"/>
      <c r="BP16" s="76" t="n"/>
      <c r="BQ16" s="76" t="n"/>
      <c r="BR16" s="76" t="n"/>
      <c r="BS16" s="76" t="n"/>
      <c r="BT16" s="76" t="n"/>
      <c r="BU16" s="76" t="n"/>
      <c r="BV16" s="76" t="n"/>
      <c r="BW16" s="76" t="n"/>
      <c r="BX16" s="76" t="n"/>
      <c r="BY16" s="76" t="n"/>
      <c r="BZ16" s="76" t="n"/>
      <c r="CA16" s="76" t="n"/>
      <c r="CB16" s="76" t="n"/>
      <c r="CC16" s="76" t="n"/>
      <c r="CD16" s="76" t="n"/>
      <c r="CE16" s="76" t="n"/>
      <c r="CF16" s="76" t="n"/>
      <c r="CG16" s="76" t="n"/>
      <c r="CH16" s="76" t="n"/>
      <c r="CI16" s="76" t="n"/>
      <c r="CJ16" s="76" t="n"/>
      <c r="CK16" s="76" t="n"/>
    </row>
    <row r="17">
      <c r="A17" s="33">
        <f>IF(Tasks!$B17="","",Tasks!B17)</f>
        <v/>
      </c>
      <c r="B17" s="34">
        <f>IF(Tasks!$B17="","",Tasks!D17)</f>
        <v/>
      </c>
      <c r="C17" s="34">
        <f>IF(Tasks!$B17="","",Tasks!E17)</f>
        <v/>
      </c>
      <c r="D17" s="45">
        <f>IF(Tasks!$B17="","",Tasks!G17)</f>
        <v/>
      </c>
      <c r="E17" s="45">
        <f>IF(Tasks!$B17="","",Tasks!H17)</f>
        <v/>
      </c>
      <c r="F17" s="76" t="n"/>
      <c r="G17" s="76" t="n"/>
      <c r="H17" s="76" t="n"/>
      <c r="I17" s="76" t="n"/>
      <c r="J17" s="76" t="n"/>
      <c r="K17" s="76" t="n"/>
      <c r="L17" s="76" t="n"/>
      <c r="M17" s="76" t="n"/>
      <c r="N17" s="76" t="n"/>
      <c r="O17" s="76" t="n"/>
      <c r="P17" s="76" t="n"/>
      <c r="Q17" s="76" t="n"/>
      <c r="R17" s="76" t="n"/>
      <c r="S17" s="76" t="n"/>
      <c r="T17" s="76" t="n"/>
      <c r="U17" s="76" t="n"/>
      <c r="V17" s="76" t="n"/>
      <c r="W17" s="76" t="n"/>
      <c r="X17" s="76" t="n"/>
      <c r="Y17" s="76" t="n"/>
      <c r="Z17" s="76" t="n"/>
      <c r="AA17" s="76" t="n"/>
      <c r="AB17" s="76" t="n"/>
      <c r="AC17" s="76" t="n"/>
      <c r="AD17" s="76" t="n"/>
      <c r="AE17" s="76" t="n"/>
      <c r="AF17" s="76" t="n"/>
      <c r="AG17" s="76" t="n"/>
      <c r="AH17" s="76" t="n"/>
      <c r="AI17" s="76" t="n"/>
      <c r="AJ17" s="76" t="n"/>
      <c r="AK17" s="76" t="n"/>
      <c r="AL17" s="76" t="n"/>
      <c r="AM17" s="76" t="n"/>
      <c r="AN17" s="76" t="n"/>
      <c r="AO17" s="76" t="n"/>
      <c r="AP17" s="76" t="n"/>
      <c r="AQ17" s="76" t="n"/>
      <c r="AR17" s="76" t="n"/>
      <c r="AS17" s="76" t="n"/>
      <c r="AT17" s="76" t="n"/>
      <c r="AU17" s="76" t="n"/>
      <c r="AV17" s="76" t="n"/>
      <c r="AW17" s="76" t="n"/>
      <c r="AX17" s="76" t="n"/>
      <c r="AY17" s="76" t="n"/>
      <c r="AZ17" s="76" t="n"/>
      <c r="BA17" s="76" t="n"/>
      <c r="BB17" s="76" t="n"/>
      <c r="BC17" s="76" t="n"/>
      <c r="BD17" s="76" t="n"/>
      <c r="BE17" s="76" t="n"/>
      <c r="BF17" s="76" t="n"/>
      <c r="BG17" s="76" t="n"/>
      <c r="BH17" s="76" t="n"/>
      <c r="BI17" s="76" t="n"/>
      <c r="BJ17" s="76" t="n"/>
      <c r="BK17" s="76" t="n"/>
      <c r="BL17" s="76" t="n"/>
      <c r="BM17" s="76" t="n"/>
      <c r="BN17" s="76" t="n"/>
      <c r="BO17" s="76" t="n"/>
      <c r="BP17" s="76" t="n"/>
      <c r="BQ17" s="76" t="n"/>
      <c r="BR17" s="76" t="n"/>
      <c r="BS17" s="76" t="n"/>
      <c r="BT17" s="76" t="n"/>
      <c r="BU17" s="76" t="n"/>
      <c r="BV17" s="76" t="n"/>
      <c r="BW17" s="76" t="n"/>
      <c r="BX17" s="76" t="n"/>
      <c r="BY17" s="76" t="n"/>
      <c r="BZ17" s="76" t="n"/>
      <c r="CA17" s="76" t="n"/>
      <c r="CB17" s="76" t="n"/>
      <c r="CC17" s="76" t="n"/>
      <c r="CD17" s="76" t="n"/>
      <c r="CE17" s="76" t="n"/>
      <c r="CF17" s="76" t="n"/>
      <c r="CG17" s="76" t="n"/>
      <c r="CH17" s="76" t="n"/>
      <c r="CI17" s="76" t="n"/>
      <c r="CJ17" s="76" t="n"/>
      <c r="CK17" s="76" t="n"/>
    </row>
    <row r="18">
      <c r="A18" s="33">
        <f>IF(Tasks!$B18="","",Tasks!B18)</f>
        <v/>
      </c>
      <c r="B18" s="34">
        <f>IF(Tasks!$B18="","",Tasks!D18)</f>
        <v/>
      </c>
      <c r="C18" s="34">
        <f>IF(Tasks!$B18="","",Tasks!E18)</f>
        <v/>
      </c>
      <c r="D18" s="45">
        <f>IF(Tasks!$B18="","",Tasks!G18)</f>
        <v/>
      </c>
      <c r="E18" s="45">
        <f>IF(Tasks!$B18="","",Tasks!H18)</f>
        <v/>
      </c>
      <c r="F18" s="76" t="n"/>
      <c r="G18" s="76" t="n"/>
      <c r="H18" s="76" t="n"/>
      <c r="I18" s="76" t="n"/>
      <c r="J18" s="76" t="n"/>
      <c r="K18" s="76" t="n"/>
      <c r="L18" s="76" t="n"/>
      <c r="M18" s="76" t="n"/>
      <c r="N18" s="76" t="n"/>
      <c r="O18" s="76" t="n"/>
      <c r="P18" s="76" t="n"/>
      <c r="Q18" s="76" t="n"/>
      <c r="R18" s="76" t="n"/>
      <c r="S18" s="76" t="n"/>
      <c r="T18" s="76" t="n"/>
      <c r="U18" s="76" t="n"/>
      <c r="V18" s="76" t="n"/>
      <c r="W18" s="76" t="n"/>
      <c r="X18" s="76" t="n"/>
      <c r="Y18" s="76" t="n"/>
      <c r="Z18" s="76" t="n"/>
      <c r="AA18" s="76" t="n"/>
      <c r="AB18" s="76" t="n"/>
      <c r="AC18" s="76" t="n"/>
      <c r="AD18" s="76" t="n"/>
      <c r="AE18" s="76" t="n"/>
      <c r="AF18" s="76" t="n"/>
      <c r="AG18" s="76" t="n"/>
      <c r="AH18" s="76" t="n"/>
      <c r="AI18" s="76" t="n"/>
      <c r="AJ18" s="76" t="n"/>
      <c r="AK18" s="76" t="n"/>
      <c r="AL18" s="76" t="n"/>
      <c r="AM18" s="76" t="n"/>
      <c r="AN18" s="76" t="n"/>
      <c r="AO18" s="76" t="n"/>
      <c r="AP18" s="76" t="n"/>
      <c r="AQ18" s="76" t="n"/>
      <c r="AR18" s="76" t="n"/>
      <c r="AS18" s="76" t="n"/>
      <c r="AT18" s="76" t="n"/>
      <c r="AU18" s="76" t="n"/>
      <c r="AV18" s="76" t="n"/>
      <c r="AW18" s="76" t="n"/>
      <c r="AX18" s="76" t="n"/>
      <c r="AY18" s="76" t="n"/>
      <c r="AZ18" s="76" t="n"/>
      <c r="BA18" s="76" t="n"/>
      <c r="BB18" s="76" t="n"/>
      <c r="BC18" s="76" t="n"/>
      <c r="BD18" s="76" t="n"/>
      <c r="BE18" s="76" t="n"/>
      <c r="BF18" s="76" t="n"/>
      <c r="BG18" s="76" t="n"/>
      <c r="BH18" s="76" t="n"/>
      <c r="BI18" s="76" t="n"/>
      <c r="BJ18" s="76" t="n"/>
      <c r="BK18" s="76" t="n"/>
      <c r="BL18" s="76" t="n"/>
      <c r="BM18" s="76" t="n"/>
      <c r="BN18" s="76" t="n"/>
      <c r="BO18" s="76" t="n"/>
      <c r="BP18" s="76" t="n"/>
      <c r="BQ18" s="76" t="n"/>
      <c r="BR18" s="76" t="n"/>
      <c r="BS18" s="76" t="n"/>
      <c r="BT18" s="76" t="n"/>
      <c r="BU18" s="76" t="n"/>
      <c r="BV18" s="76" t="n"/>
      <c r="BW18" s="76" t="n"/>
      <c r="BX18" s="76" t="n"/>
      <c r="BY18" s="76" t="n"/>
      <c r="BZ18" s="76" t="n"/>
      <c r="CA18" s="76" t="n"/>
      <c r="CB18" s="76" t="n"/>
      <c r="CC18" s="76" t="n"/>
      <c r="CD18" s="76" t="n"/>
      <c r="CE18" s="76" t="n"/>
      <c r="CF18" s="76" t="n"/>
      <c r="CG18" s="76" t="n"/>
      <c r="CH18" s="76" t="n"/>
      <c r="CI18" s="76" t="n"/>
      <c r="CJ18" s="76" t="n"/>
      <c r="CK18" s="76" t="n"/>
    </row>
    <row r="19">
      <c r="A19" s="33">
        <f>IF(Tasks!$B19="","",Tasks!B19)</f>
        <v/>
      </c>
      <c r="B19" s="34">
        <f>IF(Tasks!$B19="","",Tasks!D19)</f>
        <v/>
      </c>
      <c r="C19" s="34">
        <f>IF(Tasks!$B19="","",Tasks!E19)</f>
        <v/>
      </c>
      <c r="D19" s="45">
        <f>IF(Tasks!$B19="","",Tasks!G19)</f>
        <v/>
      </c>
      <c r="E19" s="45">
        <f>IF(Tasks!$B19="","",Tasks!H19)</f>
        <v/>
      </c>
      <c r="F19" s="76" t="n"/>
      <c r="G19" s="76" t="n"/>
      <c r="H19" s="76" t="n"/>
      <c r="I19" s="76" t="n"/>
      <c r="J19" s="76" t="n"/>
      <c r="K19" s="76" t="n"/>
      <c r="L19" s="76" t="n"/>
      <c r="M19" s="76" t="n"/>
      <c r="N19" s="76" t="n"/>
      <c r="O19" s="76" t="n"/>
      <c r="P19" s="76" t="n"/>
      <c r="Q19" s="76" t="n"/>
      <c r="R19" s="76" t="n"/>
      <c r="S19" s="76" t="n"/>
      <c r="T19" s="76" t="n"/>
      <c r="U19" s="76" t="n"/>
      <c r="V19" s="76" t="n"/>
      <c r="W19" s="76" t="n"/>
      <c r="X19" s="76" t="n"/>
      <c r="Y19" s="76" t="n"/>
      <c r="Z19" s="76" t="n"/>
      <c r="AA19" s="76" t="n"/>
      <c r="AB19" s="76" t="n"/>
      <c r="AC19" s="76" t="n"/>
      <c r="AD19" s="76" t="n"/>
      <c r="AE19" s="76" t="n"/>
      <c r="AF19" s="76" t="n"/>
      <c r="AG19" s="76" t="n"/>
      <c r="AH19" s="76" t="n"/>
      <c r="AI19" s="76" t="n"/>
      <c r="AJ19" s="76" t="n"/>
      <c r="AK19" s="76" t="n"/>
      <c r="AL19" s="76" t="n"/>
      <c r="AM19" s="76" t="n"/>
      <c r="AN19" s="76" t="n"/>
      <c r="AO19" s="76" t="n"/>
      <c r="AP19" s="76" t="n"/>
      <c r="AQ19" s="76" t="n"/>
      <c r="AR19" s="76" t="n"/>
      <c r="AS19" s="76" t="n"/>
      <c r="AT19" s="76" t="n"/>
      <c r="AU19" s="76" t="n"/>
      <c r="AV19" s="76" t="n"/>
      <c r="AW19" s="76" t="n"/>
      <c r="AX19" s="76" t="n"/>
      <c r="AY19" s="76" t="n"/>
      <c r="AZ19" s="76" t="n"/>
      <c r="BA19" s="76" t="n"/>
      <c r="BB19" s="76" t="n"/>
      <c r="BC19" s="76" t="n"/>
      <c r="BD19" s="76" t="n"/>
      <c r="BE19" s="76" t="n"/>
      <c r="BF19" s="76" t="n"/>
      <c r="BG19" s="76" t="n"/>
      <c r="BH19" s="76" t="n"/>
      <c r="BI19" s="76" t="n"/>
      <c r="BJ19" s="76" t="n"/>
      <c r="BK19" s="76" t="n"/>
      <c r="BL19" s="76" t="n"/>
      <c r="BM19" s="76" t="n"/>
      <c r="BN19" s="76" t="n"/>
      <c r="BO19" s="76" t="n"/>
      <c r="BP19" s="76" t="n"/>
      <c r="BQ19" s="76" t="n"/>
      <c r="BR19" s="76" t="n"/>
      <c r="BS19" s="76" t="n"/>
      <c r="BT19" s="76" t="n"/>
      <c r="BU19" s="76" t="n"/>
      <c r="BV19" s="76" t="n"/>
      <c r="BW19" s="76" t="n"/>
      <c r="BX19" s="76" t="n"/>
      <c r="BY19" s="76" t="n"/>
      <c r="BZ19" s="76" t="n"/>
      <c r="CA19" s="76" t="n"/>
      <c r="CB19" s="76" t="n"/>
      <c r="CC19" s="76" t="n"/>
      <c r="CD19" s="76" t="n"/>
      <c r="CE19" s="76" t="n"/>
      <c r="CF19" s="76" t="n"/>
      <c r="CG19" s="76" t="n"/>
      <c r="CH19" s="76" t="n"/>
      <c r="CI19" s="76" t="n"/>
      <c r="CJ19" s="76" t="n"/>
      <c r="CK19" s="76" t="n"/>
    </row>
    <row r="20">
      <c r="A20" s="33">
        <f>IF(Tasks!$B20="","",Tasks!B20)</f>
        <v/>
      </c>
      <c r="B20" s="34">
        <f>IF(Tasks!$B20="","",Tasks!D20)</f>
        <v/>
      </c>
      <c r="C20" s="34">
        <f>IF(Tasks!$B20="","",Tasks!E20)</f>
        <v/>
      </c>
      <c r="D20" s="45">
        <f>IF(Tasks!$B20="","",Tasks!G20)</f>
        <v/>
      </c>
      <c r="E20" s="45">
        <f>IF(Tasks!$B20="","",Tasks!H20)</f>
        <v/>
      </c>
      <c r="F20" s="76" t="n"/>
      <c r="G20" s="76" t="n"/>
      <c r="H20" s="76" t="n"/>
      <c r="I20" s="76" t="n"/>
      <c r="J20" s="76" t="n"/>
      <c r="K20" s="76" t="n"/>
      <c r="L20" s="76" t="n"/>
      <c r="M20" s="76" t="n"/>
      <c r="N20" s="76" t="n"/>
      <c r="O20" s="76" t="n"/>
      <c r="P20" s="76" t="n"/>
      <c r="Q20" s="76" t="n"/>
      <c r="R20" s="76" t="n"/>
      <c r="S20" s="76" t="n"/>
      <c r="T20" s="76" t="n"/>
      <c r="U20" s="76" t="n"/>
      <c r="V20" s="76" t="n"/>
      <c r="W20" s="76" t="n"/>
      <c r="X20" s="76" t="n"/>
      <c r="Y20" s="76" t="n"/>
      <c r="Z20" s="76" t="n"/>
      <c r="AA20" s="76" t="n"/>
      <c r="AB20" s="76" t="n"/>
      <c r="AC20" s="76" t="n"/>
      <c r="AD20" s="76" t="n"/>
      <c r="AE20" s="76" t="n"/>
      <c r="AF20" s="76" t="n"/>
      <c r="AG20" s="76" t="n"/>
      <c r="AH20" s="76" t="n"/>
      <c r="AI20" s="76" t="n"/>
      <c r="AJ20" s="76" t="n"/>
      <c r="AK20" s="76" t="n"/>
      <c r="AL20" s="76" t="n"/>
      <c r="AM20" s="76" t="n"/>
      <c r="AN20" s="76" t="n"/>
      <c r="AO20" s="76" t="n"/>
      <c r="AP20" s="76" t="n"/>
      <c r="AQ20" s="76" t="n"/>
      <c r="AR20" s="76" t="n"/>
      <c r="AS20" s="76" t="n"/>
      <c r="AT20" s="76" t="n"/>
      <c r="AU20" s="76" t="n"/>
      <c r="AV20" s="76" t="n"/>
      <c r="AW20" s="76" t="n"/>
      <c r="AX20" s="76" t="n"/>
      <c r="AY20" s="76" t="n"/>
      <c r="AZ20" s="76" t="n"/>
      <c r="BA20" s="76" t="n"/>
      <c r="BB20" s="76" t="n"/>
      <c r="BC20" s="76" t="n"/>
      <c r="BD20" s="76" t="n"/>
      <c r="BE20" s="76" t="n"/>
      <c r="BF20" s="76" t="n"/>
      <c r="BG20" s="76" t="n"/>
      <c r="BH20" s="76" t="n"/>
      <c r="BI20" s="76" t="n"/>
      <c r="BJ20" s="76" t="n"/>
      <c r="BK20" s="76" t="n"/>
      <c r="BL20" s="76" t="n"/>
      <c r="BM20" s="76" t="n"/>
      <c r="BN20" s="76" t="n"/>
      <c r="BO20" s="76" t="n"/>
      <c r="BP20" s="76" t="n"/>
      <c r="BQ20" s="76" t="n"/>
      <c r="BR20" s="76" t="n"/>
      <c r="BS20" s="76" t="n"/>
      <c r="BT20" s="76" t="n"/>
      <c r="BU20" s="76" t="n"/>
      <c r="BV20" s="76" t="n"/>
      <c r="BW20" s="76" t="n"/>
      <c r="BX20" s="76" t="n"/>
      <c r="BY20" s="76" t="n"/>
      <c r="BZ20" s="76" t="n"/>
      <c r="CA20" s="76" t="n"/>
      <c r="CB20" s="76" t="n"/>
      <c r="CC20" s="76" t="n"/>
      <c r="CD20" s="76" t="n"/>
      <c r="CE20" s="76" t="n"/>
      <c r="CF20" s="76" t="n"/>
      <c r="CG20" s="76" t="n"/>
      <c r="CH20" s="76" t="n"/>
      <c r="CI20" s="76" t="n"/>
      <c r="CJ20" s="76" t="n"/>
      <c r="CK20" s="76" t="n"/>
    </row>
    <row r="21">
      <c r="A21" s="33">
        <f>IF(Tasks!$B21="","",Tasks!B21)</f>
        <v/>
      </c>
      <c r="B21" s="34">
        <f>IF(Tasks!$B21="","",Tasks!D21)</f>
        <v/>
      </c>
      <c r="C21" s="34">
        <f>IF(Tasks!$B21="","",Tasks!E21)</f>
        <v/>
      </c>
      <c r="D21" s="45">
        <f>IF(Tasks!$B21="","",Tasks!G21)</f>
        <v/>
      </c>
      <c r="E21" s="45">
        <f>IF(Tasks!$B21="","",Tasks!H21)</f>
        <v/>
      </c>
      <c r="F21" s="76" t="n"/>
      <c r="G21" s="76" t="n"/>
      <c r="H21" s="76" t="n"/>
      <c r="I21" s="76" t="n"/>
      <c r="J21" s="76" t="n"/>
      <c r="K21" s="76" t="n"/>
      <c r="L21" s="76" t="n"/>
      <c r="M21" s="76" t="n"/>
      <c r="N21" s="76" t="n"/>
      <c r="O21" s="76" t="n"/>
      <c r="P21" s="76" t="n"/>
      <c r="Q21" s="76" t="n"/>
      <c r="R21" s="76" t="n"/>
      <c r="S21" s="76" t="n"/>
      <c r="T21" s="76" t="n"/>
      <c r="U21" s="76" t="n"/>
      <c r="V21" s="76" t="n"/>
      <c r="W21" s="76" t="n"/>
      <c r="X21" s="76" t="n"/>
      <c r="Y21" s="76" t="n"/>
      <c r="Z21" s="76" t="n"/>
      <c r="AA21" s="76" t="n"/>
      <c r="AB21" s="76" t="n"/>
      <c r="AC21" s="76" t="n"/>
      <c r="AD21" s="76" t="n"/>
      <c r="AE21" s="76" t="n"/>
      <c r="AF21" s="76" t="n"/>
      <c r="AG21" s="76" t="n"/>
      <c r="AH21" s="76" t="n"/>
      <c r="AI21" s="76" t="n"/>
      <c r="AJ21" s="76" t="n"/>
      <c r="AK21" s="76" t="n"/>
      <c r="AL21" s="76" t="n"/>
      <c r="AM21" s="76" t="n"/>
      <c r="AN21" s="76" t="n"/>
      <c r="AO21" s="76" t="n"/>
      <c r="AP21" s="76" t="n"/>
      <c r="AQ21" s="76" t="n"/>
      <c r="AR21" s="76" t="n"/>
      <c r="AS21" s="76" t="n"/>
      <c r="AT21" s="76" t="n"/>
      <c r="AU21" s="76" t="n"/>
      <c r="AV21" s="76" t="n"/>
      <c r="AW21" s="76" t="n"/>
      <c r="AX21" s="76" t="n"/>
      <c r="AY21" s="76" t="n"/>
      <c r="AZ21" s="76" t="n"/>
      <c r="BA21" s="76" t="n"/>
      <c r="BB21" s="76" t="n"/>
      <c r="BC21" s="76" t="n"/>
      <c r="BD21" s="76" t="n"/>
      <c r="BE21" s="76" t="n"/>
      <c r="BF21" s="76" t="n"/>
      <c r="BG21" s="76" t="n"/>
      <c r="BH21" s="76" t="n"/>
      <c r="BI21" s="76" t="n"/>
      <c r="BJ21" s="76" t="n"/>
      <c r="BK21" s="76" t="n"/>
      <c r="BL21" s="76" t="n"/>
      <c r="BM21" s="76" t="n"/>
      <c r="BN21" s="76" t="n"/>
      <c r="BO21" s="76" t="n"/>
      <c r="BP21" s="76" t="n"/>
      <c r="BQ21" s="76" t="n"/>
      <c r="BR21" s="76" t="n"/>
      <c r="BS21" s="76" t="n"/>
      <c r="BT21" s="76" t="n"/>
      <c r="BU21" s="76" t="n"/>
      <c r="BV21" s="76" t="n"/>
      <c r="BW21" s="76" t="n"/>
      <c r="BX21" s="76" t="n"/>
      <c r="BY21" s="76" t="n"/>
      <c r="BZ21" s="76" t="n"/>
      <c r="CA21" s="76" t="n"/>
      <c r="CB21" s="76" t="n"/>
      <c r="CC21" s="76" t="n"/>
      <c r="CD21" s="76" t="n"/>
      <c r="CE21" s="76" t="n"/>
      <c r="CF21" s="76" t="n"/>
      <c r="CG21" s="76" t="n"/>
      <c r="CH21" s="76" t="n"/>
      <c r="CI21" s="76" t="n"/>
      <c r="CJ21" s="76" t="n"/>
      <c r="CK21" s="76" t="n"/>
    </row>
    <row r="22">
      <c r="A22" s="33">
        <f>IF(Tasks!$B22="","",Tasks!B22)</f>
        <v/>
      </c>
      <c r="B22" s="34">
        <f>IF(Tasks!$B22="","",Tasks!D22)</f>
        <v/>
      </c>
      <c r="C22" s="34">
        <f>IF(Tasks!$B22="","",Tasks!E22)</f>
        <v/>
      </c>
      <c r="D22" s="45">
        <f>IF(Tasks!$B22="","",Tasks!G22)</f>
        <v/>
      </c>
      <c r="E22" s="45">
        <f>IF(Tasks!$B22="","",Tasks!H22)</f>
        <v/>
      </c>
      <c r="F22" s="76" t="n"/>
      <c r="G22" s="76" t="n"/>
      <c r="H22" s="76" t="n"/>
      <c r="I22" s="76" t="n"/>
      <c r="J22" s="76" t="n"/>
      <c r="K22" s="76" t="n"/>
      <c r="L22" s="76" t="n"/>
      <c r="M22" s="76" t="n"/>
      <c r="N22" s="76" t="n"/>
      <c r="O22" s="76" t="n"/>
      <c r="P22" s="76" t="n"/>
      <c r="Q22" s="76" t="n"/>
      <c r="R22" s="76" t="n"/>
      <c r="S22" s="76" t="n"/>
      <c r="T22" s="76" t="n"/>
      <c r="U22" s="76" t="n"/>
      <c r="V22" s="76" t="n"/>
      <c r="W22" s="76" t="n"/>
      <c r="X22" s="76" t="n"/>
      <c r="Y22" s="76" t="n"/>
      <c r="Z22" s="76" t="n"/>
      <c r="AA22" s="76" t="n"/>
      <c r="AB22" s="76" t="n"/>
      <c r="AC22" s="76" t="n"/>
      <c r="AD22" s="76" t="n"/>
      <c r="AE22" s="76" t="n"/>
      <c r="AF22" s="76" t="n"/>
      <c r="AG22" s="76" t="n"/>
      <c r="AH22" s="76" t="n"/>
      <c r="AI22" s="76" t="n"/>
      <c r="AJ22" s="76" t="n"/>
      <c r="AK22" s="76" t="n"/>
      <c r="AL22" s="76" t="n"/>
      <c r="AM22" s="76" t="n"/>
      <c r="AN22" s="76" t="n"/>
      <c r="AO22" s="76" t="n"/>
      <c r="AP22" s="76" t="n"/>
      <c r="AQ22" s="76" t="n"/>
      <c r="AR22" s="76" t="n"/>
      <c r="AS22" s="76" t="n"/>
      <c r="AT22" s="76" t="n"/>
      <c r="AU22" s="76" t="n"/>
      <c r="AV22" s="76" t="n"/>
      <c r="AW22" s="76" t="n"/>
      <c r="AX22" s="76" t="n"/>
      <c r="AY22" s="76" t="n"/>
      <c r="AZ22" s="76" t="n"/>
      <c r="BA22" s="76" t="n"/>
      <c r="BB22" s="76" t="n"/>
      <c r="BC22" s="76" t="n"/>
      <c r="BD22" s="76" t="n"/>
      <c r="BE22" s="76" t="n"/>
      <c r="BF22" s="76" t="n"/>
      <c r="BG22" s="76" t="n"/>
      <c r="BH22" s="76" t="n"/>
      <c r="BI22" s="76" t="n"/>
      <c r="BJ22" s="76" t="n"/>
      <c r="BK22" s="76" t="n"/>
      <c r="BL22" s="76" t="n"/>
      <c r="BM22" s="76" t="n"/>
      <c r="BN22" s="76" t="n"/>
      <c r="BO22" s="76" t="n"/>
      <c r="BP22" s="76" t="n"/>
      <c r="BQ22" s="76" t="n"/>
      <c r="BR22" s="76" t="n"/>
      <c r="BS22" s="76" t="n"/>
      <c r="BT22" s="76" t="n"/>
      <c r="BU22" s="76" t="n"/>
      <c r="BV22" s="76" t="n"/>
      <c r="BW22" s="76" t="n"/>
      <c r="BX22" s="76" t="n"/>
      <c r="BY22" s="76" t="n"/>
      <c r="BZ22" s="76" t="n"/>
      <c r="CA22" s="76" t="n"/>
      <c r="CB22" s="76" t="n"/>
      <c r="CC22" s="76" t="n"/>
      <c r="CD22" s="76" t="n"/>
      <c r="CE22" s="76" t="n"/>
      <c r="CF22" s="76" t="n"/>
      <c r="CG22" s="76" t="n"/>
      <c r="CH22" s="76" t="n"/>
      <c r="CI22" s="76" t="n"/>
      <c r="CJ22" s="76" t="n"/>
      <c r="CK22" s="76" t="n"/>
    </row>
    <row r="23">
      <c r="A23" s="33">
        <f>IF(Tasks!$B23="","",Tasks!B23)</f>
        <v/>
      </c>
      <c r="B23" s="34">
        <f>IF(Tasks!$B23="","",Tasks!D23)</f>
        <v/>
      </c>
      <c r="C23" s="34">
        <f>IF(Tasks!$B23="","",Tasks!E23)</f>
        <v/>
      </c>
      <c r="D23" s="45">
        <f>IF(Tasks!$B23="","",Tasks!G23)</f>
        <v/>
      </c>
      <c r="E23" s="45">
        <f>IF(Tasks!$B23="","",Tasks!H23)</f>
        <v/>
      </c>
      <c r="F23" s="76" t="n"/>
      <c r="G23" s="76" t="n"/>
      <c r="H23" s="76" t="n"/>
      <c r="I23" s="76" t="n"/>
      <c r="J23" s="76" t="n"/>
      <c r="K23" s="76" t="n"/>
      <c r="L23" s="76" t="n"/>
      <c r="M23" s="76" t="n"/>
      <c r="N23" s="76" t="n"/>
      <c r="O23" s="76" t="n"/>
      <c r="P23" s="76" t="n"/>
      <c r="Q23" s="76" t="n"/>
      <c r="R23" s="76" t="n"/>
      <c r="S23" s="76" t="n"/>
      <c r="T23" s="76" t="n"/>
      <c r="U23" s="76" t="n"/>
      <c r="V23" s="76" t="n"/>
      <c r="W23" s="76" t="n"/>
      <c r="X23" s="76" t="n"/>
      <c r="Y23" s="76" t="n"/>
      <c r="Z23" s="76" t="n"/>
      <c r="AA23" s="76" t="n"/>
      <c r="AB23" s="76" t="n"/>
      <c r="AC23" s="76" t="n"/>
      <c r="AD23" s="76" t="n"/>
      <c r="AE23" s="76" t="n"/>
      <c r="AF23" s="76" t="n"/>
      <c r="AG23" s="76" t="n"/>
      <c r="AH23" s="76" t="n"/>
      <c r="AI23" s="76" t="n"/>
      <c r="AJ23" s="76" t="n"/>
      <c r="AK23" s="76" t="n"/>
      <c r="AL23" s="76" t="n"/>
      <c r="AM23" s="76" t="n"/>
      <c r="AN23" s="76" t="n"/>
      <c r="AO23" s="76" t="n"/>
      <c r="AP23" s="76" t="n"/>
      <c r="AQ23" s="76" t="n"/>
      <c r="AR23" s="76" t="n"/>
      <c r="AS23" s="76" t="n"/>
      <c r="AT23" s="76" t="n"/>
      <c r="AU23" s="76" t="n"/>
      <c r="AV23" s="76" t="n"/>
      <c r="AW23" s="76" t="n"/>
      <c r="AX23" s="76" t="n"/>
      <c r="AY23" s="76" t="n"/>
      <c r="AZ23" s="76" t="n"/>
      <c r="BA23" s="76" t="n"/>
      <c r="BB23" s="76" t="n"/>
      <c r="BC23" s="76" t="n"/>
      <c r="BD23" s="76" t="n"/>
      <c r="BE23" s="76" t="n"/>
      <c r="BF23" s="76" t="n"/>
      <c r="BG23" s="76" t="n"/>
      <c r="BH23" s="76" t="n"/>
      <c r="BI23" s="76" t="n"/>
      <c r="BJ23" s="76" t="n"/>
      <c r="BK23" s="76" t="n"/>
      <c r="BL23" s="76" t="n"/>
      <c r="BM23" s="76" t="n"/>
      <c r="BN23" s="76" t="n"/>
      <c r="BO23" s="76" t="n"/>
      <c r="BP23" s="76" t="n"/>
      <c r="BQ23" s="76" t="n"/>
      <c r="BR23" s="76" t="n"/>
      <c r="BS23" s="76" t="n"/>
      <c r="BT23" s="76" t="n"/>
      <c r="BU23" s="76" t="n"/>
      <c r="BV23" s="76" t="n"/>
      <c r="BW23" s="76" t="n"/>
      <c r="BX23" s="76" t="n"/>
      <c r="BY23" s="76" t="n"/>
      <c r="BZ23" s="76" t="n"/>
      <c r="CA23" s="76" t="n"/>
      <c r="CB23" s="76" t="n"/>
      <c r="CC23" s="76" t="n"/>
      <c r="CD23" s="76" t="n"/>
      <c r="CE23" s="76" t="n"/>
      <c r="CF23" s="76" t="n"/>
      <c r="CG23" s="76" t="n"/>
      <c r="CH23" s="76" t="n"/>
      <c r="CI23" s="76" t="n"/>
      <c r="CJ23" s="76" t="n"/>
      <c r="CK23" s="76" t="n"/>
    </row>
    <row r="24">
      <c r="A24" s="33">
        <f>IF(Tasks!$B24="","",Tasks!B24)</f>
        <v/>
      </c>
      <c r="B24" s="34">
        <f>IF(Tasks!$B24="","",Tasks!D24)</f>
        <v/>
      </c>
      <c r="C24" s="34">
        <f>IF(Tasks!$B24="","",Tasks!E24)</f>
        <v/>
      </c>
      <c r="D24" s="45">
        <f>IF(Tasks!$B24="","",Tasks!G24)</f>
        <v/>
      </c>
      <c r="E24" s="45">
        <f>IF(Tasks!$B24="","",Tasks!H24)</f>
        <v/>
      </c>
      <c r="F24" s="76" t="n"/>
      <c r="G24" s="76" t="n"/>
      <c r="H24" s="76" t="n"/>
      <c r="I24" s="76" t="n"/>
      <c r="J24" s="76" t="n"/>
      <c r="K24" s="76" t="n"/>
      <c r="L24" s="76" t="n"/>
      <c r="M24" s="76" t="n"/>
      <c r="N24" s="76" t="n"/>
      <c r="O24" s="76" t="n"/>
      <c r="P24" s="76" t="n"/>
      <c r="Q24" s="76" t="n"/>
      <c r="R24" s="76" t="n"/>
      <c r="S24" s="76" t="n"/>
      <c r="T24" s="76" t="n"/>
      <c r="U24" s="76" t="n"/>
      <c r="V24" s="76" t="n"/>
      <c r="W24" s="76" t="n"/>
      <c r="X24" s="76" t="n"/>
      <c r="Y24" s="76" t="n"/>
      <c r="Z24" s="76" t="n"/>
      <c r="AA24" s="76" t="n"/>
      <c r="AB24" s="76" t="n"/>
      <c r="AC24" s="76" t="n"/>
      <c r="AD24" s="76" t="n"/>
      <c r="AE24" s="76" t="n"/>
      <c r="AF24" s="76" t="n"/>
      <c r="AG24" s="76" t="n"/>
      <c r="AH24" s="76" t="n"/>
      <c r="AI24" s="76" t="n"/>
      <c r="AJ24" s="76" t="n"/>
      <c r="AK24" s="76" t="n"/>
      <c r="AL24" s="76" t="n"/>
      <c r="AM24" s="76" t="n"/>
      <c r="AN24" s="76" t="n"/>
      <c r="AO24" s="76" t="n"/>
      <c r="AP24" s="76" t="n"/>
      <c r="AQ24" s="76" t="n"/>
      <c r="AR24" s="76" t="n"/>
      <c r="AS24" s="76" t="n"/>
      <c r="AT24" s="76" t="n"/>
      <c r="AU24" s="76" t="n"/>
      <c r="AV24" s="76" t="n"/>
      <c r="AW24" s="76" t="n"/>
      <c r="AX24" s="76" t="n"/>
      <c r="AY24" s="76" t="n"/>
      <c r="AZ24" s="76" t="n"/>
      <c r="BA24" s="76" t="n"/>
      <c r="BB24" s="76" t="n"/>
      <c r="BC24" s="76" t="n"/>
      <c r="BD24" s="76" t="n"/>
      <c r="BE24" s="76" t="n"/>
      <c r="BF24" s="76" t="n"/>
      <c r="BG24" s="76" t="n"/>
      <c r="BH24" s="76" t="n"/>
      <c r="BI24" s="76" t="n"/>
      <c r="BJ24" s="76" t="n"/>
      <c r="BK24" s="76" t="n"/>
      <c r="BL24" s="76" t="n"/>
      <c r="BM24" s="76" t="n"/>
      <c r="BN24" s="76" t="n"/>
      <c r="BO24" s="76" t="n"/>
      <c r="BP24" s="76" t="n"/>
      <c r="BQ24" s="76" t="n"/>
      <c r="BR24" s="76" t="n"/>
      <c r="BS24" s="76" t="n"/>
      <c r="BT24" s="76" t="n"/>
      <c r="BU24" s="76" t="n"/>
      <c r="BV24" s="76" t="n"/>
      <c r="BW24" s="76" t="n"/>
      <c r="BX24" s="76" t="n"/>
      <c r="BY24" s="76" t="n"/>
      <c r="BZ24" s="76" t="n"/>
      <c r="CA24" s="76" t="n"/>
      <c r="CB24" s="76" t="n"/>
      <c r="CC24" s="76" t="n"/>
      <c r="CD24" s="76" t="n"/>
      <c r="CE24" s="76" t="n"/>
      <c r="CF24" s="76" t="n"/>
      <c r="CG24" s="76" t="n"/>
      <c r="CH24" s="76" t="n"/>
      <c r="CI24" s="76" t="n"/>
      <c r="CJ24" s="76" t="n"/>
      <c r="CK24" s="76" t="n"/>
    </row>
    <row r="25">
      <c r="A25" s="33">
        <f>IF(Tasks!$B25="","",Tasks!B25)</f>
        <v/>
      </c>
      <c r="B25" s="34">
        <f>IF(Tasks!$B25="","",Tasks!D25)</f>
        <v/>
      </c>
      <c r="C25" s="34">
        <f>IF(Tasks!$B25="","",Tasks!E25)</f>
        <v/>
      </c>
      <c r="D25" s="45">
        <f>IF(Tasks!$B25="","",Tasks!G25)</f>
        <v/>
      </c>
      <c r="E25" s="45">
        <f>IF(Tasks!$B25="","",Tasks!H25)</f>
        <v/>
      </c>
      <c r="F25" s="76" t="n"/>
      <c r="G25" s="76" t="n"/>
      <c r="H25" s="76" t="n"/>
      <c r="I25" s="76" t="n"/>
      <c r="J25" s="76" t="n"/>
      <c r="K25" s="76" t="n"/>
      <c r="L25" s="76" t="n"/>
      <c r="M25" s="76" t="n"/>
      <c r="N25" s="76" t="n"/>
      <c r="O25" s="76" t="n"/>
      <c r="P25" s="76" t="n"/>
      <c r="Q25" s="76" t="n"/>
      <c r="R25" s="76" t="n"/>
      <c r="S25" s="76" t="n"/>
      <c r="T25" s="76" t="n"/>
      <c r="U25" s="76" t="n"/>
      <c r="V25" s="76" t="n"/>
      <c r="W25" s="76" t="n"/>
      <c r="X25" s="76" t="n"/>
      <c r="Y25" s="76" t="n"/>
      <c r="Z25" s="76" t="n"/>
      <c r="AA25" s="76" t="n"/>
      <c r="AB25" s="76" t="n"/>
      <c r="AC25" s="76" t="n"/>
      <c r="AD25" s="76" t="n"/>
      <c r="AE25" s="76" t="n"/>
      <c r="AF25" s="76" t="n"/>
      <c r="AG25" s="76" t="n"/>
      <c r="AH25" s="76" t="n"/>
      <c r="AI25" s="76" t="n"/>
      <c r="AJ25" s="76" t="n"/>
      <c r="AK25" s="76" t="n"/>
      <c r="AL25" s="76" t="n"/>
      <c r="AM25" s="76" t="n"/>
      <c r="AN25" s="76" t="n"/>
      <c r="AO25" s="76" t="n"/>
      <c r="AP25" s="76" t="n"/>
      <c r="AQ25" s="76" t="n"/>
      <c r="AR25" s="76" t="n"/>
      <c r="AS25" s="76" t="n"/>
      <c r="AT25" s="76" t="n"/>
      <c r="AU25" s="76" t="n"/>
      <c r="AV25" s="76" t="n"/>
      <c r="AW25" s="76" t="n"/>
      <c r="AX25" s="76" t="n"/>
      <c r="AY25" s="76" t="n"/>
      <c r="AZ25" s="76" t="n"/>
      <c r="BA25" s="76" t="n"/>
      <c r="BB25" s="76" t="n"/>
      <c r="BC25" s="76" t="n"/>
      <c r="BD25" s="76" t="n"/>
      <c r="BE25" s="76" t="n"/>
      <c r="BF25" s="76" t="n"/>
      <c r="BG25" s="76" t="n"/>
      <c r="BH25" s="76" t="n"/>
      <c r="BI25" s="76" t="n"/>
      <c r="BJ25" s="76" t="n"/>
      <c r="BK25" s="76" t="n"/>
      <c r="BL25" s="76" t="n"/>
      <c r="BM25" s="76" t="n"/>
      <c r="BN25" s="76" t="n"/>
      <c r="BO25" s="76" t="n"/>
      <c r="BP25" s="76" t="n"/>
      <c r="BQ25" s="76" t="n"/>
      <c r="BR25" s="76" t="n"/>
      <c r="BS25" s="76" t="n"/>
      <c r="BT25" s="76" t="n"/>
      <c r="BU25" s="76" t="n"/>
      <c r="BV25" s="76" t="n"/>
      <c r="BW25" s="76" t="n"/>
      <c r="BX25" s="76" t="n"/>
      <c r="BY25" s="76" t="n"/>
      <c r="BZ25" s="76" t="n"/>
      <c r="CA25" s="76" t="n"/>
      <c r="CB25" s="76" t="n"/>
      <c r="CC25" s="76" t="n"/>
      <c r="CD25" s="76" t="n"/>
      <c r="CE25" s="76" t="n"/>
      <c r="CF25" s="76" t="n"/>
      <c r="CG25" s="76" t="n"/>
      <c r="CH25" s="76" t="n"/>
      <c r="CI25" s="76" t="n"/>
      <c r="CJ25" s="76" t="n"/>
      <c r="CK25" s="76" t="n"/>
    </row>
    <row r="26">
      <c r="A26" s="33">
        <f>IF(Tasks!$B26="","",Tasks!B26)</f>
        <v/>
      </c>
      <c r="B26" s="34">
        <f>IF(Tasks!$B26="","",Tasks!D26)</f>
        <v/>
      </c>
      <c r="C26" s="34">
        <f>IF(Tasks!$B26="","",Tasks!E26)</f>
        <v/>
      </c>
      <c r="D26" s="45">
        <f>IF(Tasks!$B26="","",Tasks!G26)</f>
        <v/>
      </c>
      <c r="E26" s="45">
        <f>IF(Tasks!$B26="","",Tasks!H26)</f>
        <v/>
      </c>
      <c r="F26" s="76" t="n"/>
      <c r="G26" s="76" t="n"/>
      <c r="H26" s="76" t="n"/>
      <c r="I26" s="76" t="n"/>
      <c r="J26" s="76" t="n"/>
      <c r="K26" s="76" t="n"/>
      <c r="L26" s="76" t="n"/>
      <c r="M26" s="76" t="n"/>
      <c r="N26" s="76" t="n"/>
      <c r="O26" s="76" t="n"/>
      <c r="P26" s="76" t="n"/>
      <c r="Q26" s="76" t="n"/>
      <c r="R26" s="76" t="n"/>
      <c r="S26" s="76" t="n"/>
      <c r="T26" s="76" t="n"/>
      <c r="U26" s="76" t="n"/>
      <c r="V26" s="76" t="n"/>
      <c r="W26" s="76" t="n"/>
      <c r="X26" s="76" t="n"/>
      <c r="Y26" s="76" t="n"/>
      <c r="Z26" s="76" t="n"/>
      <c r="AA26" s="76" t="n"/>
      <c r="AB26" s="76" t="n"/>
      <c r="AC26" s="76" t="n"/>
      <c r="AD26" s="76" t="n"/>
      <c r="AE26" s="76" t="n"/>
      <c r="AF26" s="76" t="n"/>
      <c r="AG26" s="76" t="n"/>
      <c r="AH26" s="76" t="n"/>
      <c r="AI26" s="76" t="n"/>
      <c r="AJ26" s="76" t="n"/>
      <c r="AK26" s="76" t="n"/>
      <c r="AL26" s="76" t="n"/>
      <c r="AM26" s="76" t="n"/>
      <c r="AN26" s="76" t="n"/>
      <c r="AO26" s="76" t="n"/>
      <c r="AP26" s="76" t="n"/>
      <c r="AQ26" s="76" t="n"/>
      <c r="AR26" s="76" t="n"/>
      <c r="AS26" s="76" t="n"/>
      <c r="AT26" s="76" t="n"/>
      <c r="AU26" s="76" t="n"/>
      <c r="AV26" s="76" t="n"/>
      <c r="AW26" s="76" t="n"/>
      <c r="AX26" s="76" t="n"/>
      <c r="AY26" s="76" t="n"/>
      <c r="AZ26" s="76" t="n"/>
      <c r="BA26" s="76" t="n"/>
      <c r="BB26" s="76" t="n"/>
      <c r="BC26" s="76" t="n"/>
      <c r="BD26" s="76" t="n"/>
      <c r="BE26" s="76" t="n"/>
      <c r="BF26" s="76" t="n"/>
      <c r="BG26" s="76" t="n"/>
      <c r="BH26" s="76" t="n"/>
      <c r="BI26" s="76" t="n"/>
      <c r="BJ26" s="76" t="n"/>
      <c r="BK26" s="76" t="n"/>
      <c r="BL26" s="76" t="n"/>
      <c r="BM26" s="76" t="n"/>
      <c r="BN26" s="76" t="n"/>
      <c r="BO26" s="76" t="n"/>
      <c r="BP26" s="76" t="n"/>
      <c r="BQ26" s="76" t="n"/>
      <c r="BR26" s="76" t="n"/>
      <c r="BS26" s="76" t="n"/>
      <c r="BT26" s="76" t="n"/>
      <c r="BU26" s="76" t="n"/>
      <c r="BV26" s="76" t="n"/>
      <c r="BW26" s="76" t="n"/>
      <c r="BX26" s="76" t="n"/>
      <c r="BY26" s="76" t="n"/>
      <c r="BZ26" s="76" t="n"/>
      <c r="CA26" s="76" t="n"/>
      <c r="CB26" s="76" t="n"/>
      <c r="CC26" s="76" t="n"/>
      <c r="CD26" s="76" t="n"/>
      <c r="CE26" s="76" t="n"/>
      <c r="CF26" s="76" t="n"/>
      <c r="CG26" s="76" t="n"/>
      <c r="CH26" s="76" t="n"/>
      <c r="CI26" s="76" t="n"/>
      <c r="CJ26" s="76" t="n"/>
      <c r="CK26" s="76" t="n"/>
    </row>
    <row r="27">
      <c r="A27" s="33">
        <f>IF(Tasks!$B27="","",Tasks!B27)</f>
        <v/>
      </c>
      <c r="B27" s="34">
        <f>IF(Tasks!$B27="","",Tasks!D27)</f>
        <v/>
      </c>
      <c r="C27" s="34">
        <f>IF(Tasks!$B27="","",Tasks!E27)</f>
        <v/>
      </c>
      <c r="D27" s="45">
        <f>IF(Tasks!$B27="","",Tasks!G27)</f>
        <v/>
      </c>
      <c r="E27" s="45">
        <f>IF(Tasks!$B27="","",Tasks!H27)</f>
        <v/>
      </c>
      <c r="F27" s="76" t="n"/>
      <c r="G27" s="76" t="n"/>
      <c r="H27" s="76" t="n"/>
      <c r="I27" s="76" t="n"/>
      <c r="J27" s="76" t="n"/>
      <c r="K27" s="76" t="n"/>
      <c r="L27" s="76" t="n"/>
      <c r="M27" s="76" t="n"/>
      <c r="N27" s="76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  <c r="AA27" s="76" t="n"/>
      <c r="AB27" s="76" t="n"/>
      <c r="AC27" s="76" t="n"/>
      <c r="AD27" s="76" t="n"/>
      <c r="AE27" s="76" t="n"/>
      <c r="AF27" s="76" t="n"/>
      <c r="AG27" s="76" t="n"/>
      <c r="AH27" s="76" t="n"/>
      <c r="AI27" s="76" t="n"/>
      <c r="AJ27" s="76" t="n"/>
      <c r="AK27" s="76" t="n"/>
      <c r="AL27" s="76" t="n"/>
      <c r="AM27" s="76" t="n"/>
      <c r="AN27" s="76" t="n"/>
      <c r="AO27" s="76" t="n"/>
      <c r="AP27" s="76" t="n"/>
      <c r="AQ27" s="76" t="n"/>
      <c r="AR27" s="76" t="n"/>
      <c r="AS27" s="76" t="n"/>
      <c r="AT27" s="76" t="n"/>
      <c r="AU27" s="76" t="n"/>
      <c r="AV27" s="76" t="n"/>
      <c r="AW27" s="76" t="n"/>
      <c r="AX27" s="76" t="n"/>
      <c r="AY27" s="76" t="n"/>
      <c r="AZ27" s="76" t="n"/>
      <c r="BA27" s="76" t="n"/>
      <c r="BB27" s="76" t="n"/>
      <c r="BC27" s="76" t="n"/>
      <c r="BD27" s="76" t="n"/>
      <c r="BE27" s="76" t="n"/>
      <c r="BF27" s="76" t="n"/>
      <c r="BG27" s="76" t="n"/>
      <c r="BH27" s="76" t="n"/>
      <c r="BI27" s="76" t="n"/>
      <c r="BJ27" s="76" t="n"/>
      <c r="BK27" s="76" t="n"/>
      <c r="BL27" s="76" t="n"/>
      <c r="BM27" s="76" t="n"/>
      <c r="BN27" s="76" t="n"/>
      <c r="BO27" s="76" t="n"/>
      <c r="BP27" s="76" t="n"/>
      <c r="BQ27" s="76" t="n"/>
      <c r="BR27" s="76" t="n"/>
      <c r="BS27" s="76" t="n"/>
      <c r="BT27" s="76" t="n"/>
      <c r="BU27" s="76" t="n"/>
      <c r="BV27" s="76" t="n"/>
      <c r="BW27" s="76" t="n"/>
      <c r="BX27" s="76" t="n"/>
      <c r="BY27" s="76" t="n"/>
      <c r="BZ27" s="76" t="n"/>
      <c r="CA27" s="76" t="n"/>
      <c r="CB27" s="76" t="n"/>
      <c r="CC27" s="76" t="n"/>
      <c r="CD27" s="76" t="n"/>
      <c r="CE27" s="76" t="n"/>
      <c r="CF27" s="76" t="n"/>
      <c r="CG27" s="76" t="n"/>
      <c r="CH27" s="76" t="n"/>
      <c r="CI27" s="76" t="n"/>
      <c r="CJ27" s="76" t="n"/>
      <c r="CK27" s="76" t="n"/>
    </row>
    <row r="28">
      <c r="A28" s="33">
        <f>IF(Tasks!$B28="","",Tasks!B28)</f>
        <v/>
      </c>
      <c r="B28" s="34">
        <f>IF(Tasks!$B28="","",Tasks!D28)</f>
        <v/>
      </c>
      <c r="C28" s="34">
        <f>IF(Tasks!$B28="","",Tasks!E28)</f>
        <v/>
      </c>
      <c r="D28" s="45">
        <f>IF(Tasks!$B28="","",Tasks!G28)</f>
        <v/>
      </c>
      <c r="E28" s="45">
        <f>IF(Tasks!$B28="","",Tasks!H28)</f>
        <v/>
      </c>
      <c r="F28" s="76" t="n"/>
      <c r="G28" s="76" t="n"/>
      <c r="H28" s="76" t="n"/>
      <c r="I28" s="76" t="n"/>
      <c r="J28" s="76" t="n"/>
      <c r="K28" s="76" t="n"/>
      <c r="L28" s="76" t="n"/>
      <c r="M28" s="76" t="n"/>
      <c r="N28" s="76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76" t="n"/>
      <c r="AC28" s="76" t="n"/>
      <c r="AD28" s="76" t="n"/>
      <c r="AE28" s="76" t="n"/>
      <c r="AF28" s="76" t="n"/>
      <c r="AG28" s="76" t="n"/>
      <c r="AH28" s="76" t="n"/>
      <c r="AI28" s="76" t="n"/>
      <c r="AJ28" s="76" t="n"/>
      <c r="AK28" s="76" t="n"/>
      <c r="AL28" s="76" t="n"/>
      <c r="AM28" s="76" t="n"/>
      <c r="AN28" s="76" t="n"/>
      <c r="AO28" s="76" t="n"/>
      <c r="AP28" s="76" t="n"/>
      <c r="AQ28" s="76" t="n"/>
      <c r="AR28" s="76" t="n"/>
      <c r="AS28" s="76" t="n"/>
      <c r="AT28" s="76" t="n"/>
      <c r="AU28" s="76" t="n"/>
      <c r="AV28" s="76" t="n"/>
      <c r="AW28" s="76" t="n"/>
      <c r="AX28" s="76" t="n"/>
      <c r="AY28" s="76" t="n"/>
      <c r="AZ28" s="76" t="n"/>
      <c r="BA28" s="76" t="n"/>
      <c r="BB28" s="76" t="n"/>
      <c r="BC28" s="76" t="n"/>
      <c r="BD28" s="76" t="n"/>
      <c r="BE28" s="76" t="n"/>
      <c r="BF28" s="76" t="n"/>
      <c r="BG28" s="76" t="n"/>
      <c r="BH28" s="76" t="n"/>
      <c r="BI28" s="76" t="n"/>
      <c r="BJ28" s="76" t="n"/>
      <c r="BK28" s="76" t="n"/>
      <c r="BL28" s="76" t="n"/>
      <c r="BM28" s="76" t="n"/>
      <c r="BN28" s="76" t="n"/>
      <c r="BO28" s="76" t="n"/>
      <c r="BP28" s="76" t="n"/>
      <c r="BQ28" s="76" t="n"/>
      <c r="BR28" s="76" t="n"/>
      <c r="BS28" s="76" t="n"/>
      <c r="BT28" s="76" t="n"/>
      <c r="BU28" s="76" t="n"/>
      <c r="BV28" s="76" t="n"/>
      <c r="BW28" s="76" t="n"/>
      <c r="BX28" s="76" t="n"/>
      <c r="BY28" s="76" t="n"/>
      <c r="BZ28" s="76" t="n"/>
      <c r="CA28" s="76" t="n"/>
      <c r="CB28" s="76" t="n"/>
      <c r="CC28" s="76" t="n"/>
      <c r="CD28" s="76" t="n"/>
      <c r="CE28" s="76" t="n"/>
      <c r="CF28" s="76" t="n"/>
      <c r="CG28" s="76" t="n"/>
      <c r="CH28" s="76" t="n"/>
      <c r="CI28" s="76" t="n"/>
      <c r="CJ28" s="76" t="n"/>
      <c r="CK28" s="76" t="n"/>
    </row>
    <row r="29">
      <c r="A29" s="33">
        <f>IF(Tasks!$B29="","",Tasks!B29)</f>
        <v/>
      </c>
      <c r="B29" s="34">
        <f>IF(Tasks!$B29="","",Tasks!D29)</f>
        <v/>
      </c>
      <c r="C29" s="34">
        <f>IF(Tasks!$B29="","",Tasks!E29)</f>
        <v/>
      </c>
      <c r="D29" s="45">
        <f>IF(Tasks!$B29="","",Tasks!G29)</f>
        <v/>
      </c>
      <c r="E29" s="45">
        <f>IF(Tasks!$B29="","",Tasks!H29)</f>
        <v/>
      </c>
      <c r="F29" s="76" t="n"/>
      <c r="G29" s="76" t="n"/>
      <c r="H29" s="76" t="n"/>
      <c r="I29" s="76" t="n"/>
      <c r="J29" s="76" t="n"/>
      <c r="K29" s="76" t="n"/>
      <c r="L29" s="76" t="n"/>
      <c r="M29" s="76" t="n"/>
      <c r="N29" s="76" t="n"/>
      <c r="O29" s="76" t="n"/>
      <c r="P29" s="76" t="n"/>
      <c r="Q29" s="76" t="n"/>
      <c r="R29" s="76" t="n"/>
      <c r="S29" s="76" t="n"/>
      <c r="T29" s="76" t="n"/>
      <c r="U29" s="76" t="n"/>
      <c r="V29" s="76" t="n"/>
      <c r="W29" s="76" t="n"/>
      <c r="X29" s="76" t="n"/>
      <c r="Y29" s="76" t="n"/>
      <c r="Z29" s="76" t="n"/>
      <c r="AA29" s="76" t="n"/>
      <c r="AB29" s="76" t="n"/>
      <c r="AC29" s="76" t="n"/>
      <c r="AD29" s="76" t="n"/>
      <c r="AE29" s="76" t="n"/>
      <c r="AF29" s="76" t="n"/>
      <c r="AG29" s="76" t="n"/>
      <c r="AH29" s="76" t="n"/>
      <c r="AI29" s="76" t="n"/>
      <c r="AJ29" s="76" t="n"/>
      <c r="AK29" s="76" t="n"/>
      <c r="AL29" s="76" t="n"/>
      <c r="AM29" s="76" t="n"/>
      <c r="AN29" s="76" t="n"/>
      <c r="AO29" s="76" t="n"/>
      <c r="AP29" s="76" t="n"/>
      <c r="AQ29" s="76" t="n"/>
      <c r="AR29" s="76" t="n"/>
      <c r="AS29" s="76" t="n"/>
      <c r="AT29" s="76" t="n"/>
      <c r="AU29" s="76" t="n"/>
      <c r="AV29" s="76" t="n"/>
      <c r="AW29" s="76" t="n"/>
      <c r="AX29" s="76" t="n"/>
      <c r="AY29" s="76" t="n"/>
      <c r="AZ29" s="76" t="n"/>
      <c r="BA29" s="76" t="n"/>
      <c r="BB29" s="76" t="n"/>
      <c r="BC29" s="76" t="n"/>
      <c r="BD29" s="76" t="n"/>
      <c r="BE29" s="76" t="n"/>
      <c r="BF29" s="76" t="n"/>
      <c r="BG29" s="76" t="n"/>
      <c r="BH29" s="76" t="n"/>
      <c r="BI29" s="76" t="n"/>
      <c r="BJ29" s="76" t="n"/>
      <c r="BK29" s="76" t="n"/>
      <c r="BL29" s="76" t="n"/>
      <c r="BM29" s="76" t="n"/>
      <c r="BN29" s="76" t="n"/>
      <c r="BO29" s="76" t="n"/>
      <c r="BP29" s="76" t="n"/>
      <c r="BQ29" s="76" t="n"/>
      <c r="BR29" s="76" t="n"/>
      <c r="BS29" s="76" t="n"/>
      <c r="BT29" s="76" t="n"/>
      <c r="BU29" s="76" t="n"/>
      <c r="BV29" s="76" t="n"/>
      <c r="BW29" s="76" t="n"/>
      <c r="BX29" s="76" t="n"/>
      <c r="BY29" s="76" t="n"/>
      <c r="BZ29" s="76" t="n"/>
      <c r="CA29" s="76" t="n"/>
      <c r="CB29" s="76" t="n"/>
      <c r="CC29" s="76" t="n"/>
      <c r="CD29" s="76" t="n"/>
      <c r="CE29" s="76" t="n"/>
      <c r="CF29" s="76" t="n"/>
      <c r="CG29" s="76" t="n"/>
      <c r="CH29" s="76" t="n"/>
      <c r="CI29" s="76" t="n"/>
      <c r="CJ29" s="76" t="n"/>
      <c r="CK29" s="76" t="n"/>
    </row>
    <row r="30">
      <c r="A30" s="33">
        <f>IF(Tasks!$B30="","",Tasks!B30)</f>
        <v/>
      </c>
      <c r="B30" s="34">
        <f>IF(Tasks!$B30="","",Tasks!D30)</f>
        <v/>
      </c>
      <c r="C30" s="34">
        <f>IF(Tasks!$B30="","",Tasks!E30)</f>
        <v/>
      </c>
      <c r="D30" s="45">
        <f>IF(Tasks!$B30="","",Tasks!G30)</f>
        <v/>
      </c>
      <c r="E30" s="45">
        <f>IF(Tasks!$B30="","",Tasks!H30)</f>
        <v/>
      </c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  <c r="P30" s="76" t="n"/>
      <c r="Q30" s="76" t="n"/>
      <c r="R30" s="76" t="n"/>
      <c r="S30" s="76" t="n"/>
      <c r="T30" s="76" t="n"/>
      <c r="U30" s="76" t="n"/>
      <c r="V30" s="76" t="n"/>
      <c r="W30" s="76" t="n"/>
      <c r="X30" s="76" t="n"/>
      <c r="Y30" s="76" t="n"/>
      <c r="Z30" s="76" t="n"/>
      <c r="AA30" s="76" t="n"/>
      <c r="AB30" s="76" t="n"/>
      <c r="AC30" s="76" t="n"/>
      <c r="AD30" s="76" t="n"/>
      <c r="AE30" s="76" t="n"/>
      <c r="AF30" s="76" t="n"/>
      <c r="AG30" s="76" t="n"/>
      <c r="AH30" s="76" t="n"/>
      <c r="AI30" s="76" t="n"/>
      <c r="AJ30" s="76" t="n"/>
      <c r="AK30" s="76" t="n"/>
      <c r="AL30" s="76" t="n"/>
      <c r="AM30" s="76" t="n"/>
      <c r="AN30" s="76" t="n"/>
      <c r="AO30" s="76" t="n"/>
      <c r="AP30" s="76" t="n"/>
      <c r="AQ30" s="76" t="n"/>
      <c r="AR30" s="76" t="n"/>
      <c r="AS30" s="76" t="n"/>
      <c r="AT30" s="76" t="n"/>
      <c r="AU30" s="76" t="n"/>
      <c r="AV30" s="76" t="n"/>
      <c r="AW30" s="76" t="n"/>
      <c r="AX30" s="76" t="n"/>
      <c r="AY30" s="76" t="n"/>
      <c r="AZ30" s="76" t="n"/>
      <c r="BA30" s="76" t="n"/>
      <c r="BB30" s="76" t="n"/>
      <c r="BC30" s="76" t="n"/>
      <c r="BD30" s="76" t="n"/>
      <c r="BE30" s="76" t="n"/>
      <c r="BF30" s="76" t="n"/>
      <c r="BG30" s="76" t="n"/>
      <c r="BH30" s="76" t="n"/>
      <c r="BI30" s="76" t="n"/>
      <c r="BJ30" s="76" t="n"/>
      <c r="BK30" s="76" t="n"/>
      <c r="BL30" s="76" t="n"/>
      <c r="BM30" s="76" t="n"/>
      <c r="BN30" s="76" t="n"/>
      <c r="BO30" s="76" t="n"/>
      <c r="BP30" s="76" t="n"/>
      <c r="BQ30" s="76" t="n"/>
      <c r="BR30" s="76" t="n"/>
      <c r="BS30" s="76" t="n"/>
      <c r="BT30" s="76" t="n"/>
      <c r="BU30" s="76" t="n"/>
      <c r="BV30" s="76" t="n"/>
      <c r="BW30" s="76" t="n"/>
      <c r="BX30" s="76" t="n"/>
      <c r="BY30" s="76" t="n"/>
      <c r="BZ30" s="76" t="n"/>
      <c r="CA30" s="76" t="n"/>
      <c r="CB30" s="76" t="n"/>
      <c r="CC30" s="76" t="n"/>
      <c r="CD30" s="76" t="n"/>
      <c r="CE30" s="76" t="n"/>
      <c r="CF30" s="76" t="n"/>
      <c r="CG30" s="76" t="n"/>
      <c r="CH30" s="76" t="n"/>
      <c r="CI30" s="76" t="n"/>
      <c r="CJ30" s="76" t="n"/>
      <c r="CK30" s="76" t="n"/>
    </row>
    <row r="31">
      <c r="A31" s="33">
        <f>IF(Tasks!$B31="","",Tasks!B31)</f>
        <v/>
      </c>
      <c r="B31" s="34">
        <f>IF(Tasks!$B31="","",Tasks!D31)</f>
        <v/>
      </c>
      <c r="C31" s="34">
        <f>IF(Tasks!$B31="","",Tasks!E31)</f>
        <v/>
      </c>
      <c r="D31" s="45">
        <f>IF(Tasks!$B31="","",Tasks!G31)</f>
        <v/>
      </c>
      <c r="E31" s="45">
        <f>IF(Tasks!$B31="","",Tasks!H31)</f>
        <v/>
      </c>
      <c r="F31" s="76" t="n"/>
      <c r="G31" s="76" t="n"/>
      <c r="H31" s="76" t="n"/>
      <c r="I31" s="76" t="n"/>
      <c r="J31" s="76" t="n"/>
      <c r="K31" s="76" t="n"/>
      <c r="L31" s="76" t="n"/>
      <c r="M31" s="76" t="n"/>
      <c r="N31" s="76" t="n"/>
      <c r="O31" s="76" t="n"/>
      <c r="P31" s="76" t="n"/>
      <c r="Q31" s="76" t="n"/>
      <c r="R31" s="76" t="n"/>
      <c r="S31" s="76" t="n"/>
      <c r="T31" s="76" t="n"/>
      <c r="U31" s="76" t="n"/>
      <c r="V31" s="76" t="n"/>
      <c r="W31" s="76" t="n"/>
      <c r="X31" s="76" t="n"/>
      <c r="Y31" s="76" t="n"/>
      <c r="Z31" s="76" t="n"/>
      <c r="AA31" s="76" t="n"/>
      <c r="AB31" s="76" t="n"/>
      <c r="AC31" s="76" t="n"/>
      <c r="AD31" s="76" t="n"/>
      <c r="AE31" s="76" t="n"/>
      <c r="AF31" s="76" t="n"/>
      <c r="AG31" s="76" t="n"/>
      <c r="AH31" s="76" t="n"/>
      <c r="AI31" s="76" t="n"/>
      <c r="AJ31" s="76" t="n"/>
      <c r="AK31" s="76" t="n"/>
      <c r="AL31" s="76" t="n"/>
      <c r="AM31" s="76" t="n"/>
      <c r="AN31" s="76" t="n"/>
      <c r="AO31" s="76" t="n"/>
      <c r="AP31" s="76" t="n"/>
      <c r="AQ31" s="76" t="n"/>
      <c r="AR31" s="76" t="n"/>
      <c r="AS31" s="76" t="n"/>
      <c r="AT31" s="76" t="n"/>
      <c r="AU31" s="76" t="n"/>
      <c r="AV31" s="76" t="n"/>
      <c r="AW31" s="76" t="n"/>
      <c r="AX31" s="76" t="n"/>
      <c r="AY31" s="76" t="n"/>
      <c r="AZ31" s="76" t="n"/>
      <c r="BA31" s="76" t="n"/>
      <c r="BB31" s="76" t="n"/>
      <c r="BC31" s="76" t="n"/>
      <c r="BD31" s="76" t="n"/>
      <c r="BE31" s="76" t="n"/>
      <c r="BF31" s="76" t="n"/>
      <c r="BG31" s="76" t="n"/>
      <c r="BH31" s="76" t="n"/>
      <c r="BI31" s="76" t="n"/>
      <c r="BJ31" s="76" t="n"/>
      <c r="BK31" s="76" t="n"/>
      <c r="BL31" s="76" t="n"/>
      <c r="BM31" s="76" t="n"/>
      <c r="BN31" s="76" t="n"/>
      <c r="BO31" s="76" t="n"/>
      <c r="BP31" s="76" t="n"/>
      <c r="BQ31" s="76" t="n"/>
      <c r="BR31" s="76" t="n"/>
      <c r="BS31" s="76" t="n"/>
      <c r="BT31" s="76" t="n"/>
      <c r="BU31" s="76" t="n"/>
      <c r="BV31" s="76" t="n"/>
      <c r="BW31" s="76" t="n"/>
      <c r="BX31" s="76" t="n"/>
      <c r="BY31" s="76" t="n"/>
      <c r="BZ31" s="76" t="n"/>
      <c r="CA31" s="76" t="n"/>
      <c r="CB31" s="76" t="n"/>
      <c r="CC31" s="76" t="n"/>
      <c r="CD31" s="76" t="n"/>
      <c r="CE31" s="76" t="n"/>
      <c r="CF31" s="76" t="n"/>
      <c r="CG31" s="76" t="n"/>
      <c r="CH31" s="76" t="n"/>
      <c r="CI31" s="76" t="n"/>
      <c r="CJ31" s="76" t="n"/>
      <c r="CK31" s="76" t="n"/>
    </row>
    <row r="32">
      <c r="A32" s="33">
        <f>IF(Tasks!$B32="","",Tasks!B32)</f>
        <v/>
      </c>
      <c r="B32" s="34">
        <f>IF(Tasks!$B32="","",Tasks!D32)</f>
        <v/>
      </c>
      <c r="C32" s="34">
        <f>IF(Tasks!$B32="","",Tasks!E32)</f>
        <v/>
      </c>
      <c r="D32" s="45">
        <f>IF(Tasks!$B32="","",Tasks!G32)</f>
        <v/>
      </c>
      <c r="E32" s="45">
        <f>IF(Tasks!$B32="","",Tasks!H32)</f>
        <v/>
      </c>
      <c r="F32" s="76" t="n"/>
      <c r="G32" s="76" t="n"/>
      <c r="H32" s="76" t="n"/>
      <c r="I32" s="76" t="n"/>
      <c r="J32" s="76" t="n"/>
      <c r="K32" s="76" t="n"/>
      <c r="L32" s="76" t="n"/>
      <c r="M32" s="76" t="n"/>
      <c r="N32" s="76" t="n"/>
      <c r="O32" s="76" t="n"/>
      <c r="P32" s="76" t="n"/>
      <c r="Q32" s="76" t="n"/>
      <c r="R32" s="76" t="n"/>
      <c r="S32" s="76" t="n"/>
      <c r="T32" s="76" t="n"/>
      <c r="U32" s="76" t="n"/>
      <c r="V32" s="76" t="n"/>
      <c r="W32" s="76" t="n"/>
      <c r="X32" s="76" t="n"/>
      <c r="Y32" s="76" t="n"/>
      <c r="Z32" s="76" t="n"/>
      <c r="AA32" s="76" t="n"/>
      <c r="AB32" s="76" t="n"/>
      <c r="AC32" s="76" t="n"/>
      <c r="AD32" s="76" t="n"/>
      <c r="AE32" s="76" t="n"/>
      <c r="AF32" s="76" t="n"/>
      <c r="AG32" s="76" t="n"/>
      <c r="AH32" s="76" t="n"/>
      <c r="AI32" s="76" t="n"/>
      <c r="AJ32" s="76" t="n"/>
      <c r="AK32" s="76" t="n"/>
      <c r="AL32" s="76" t="n"/>
      <c r="AM32" s="76" t="n"/>
      <c r="AN32" s="76" t="n"/>
      <c r="AO32" s="76" t="n"/>
      <c r="AP32" s="76" t="n"/>
      <c r="AQ32" s="76" t="n"/>
      <c r="AR32" s="76" t="n"/>
      <c r="AS32" s="76" t="n"/>
      <c r="AT32" s="76" t="n"/>
      <c r="AU32" s="76" t="n"/>
      <c r="AV32" s="76" t="n"/>
      <c r="AW32" s="76" t="n"/>
      <c r="AX32" s="76" t="n"/>
      <c r="AY32" s="76" t="n"/>
      <c r="AZ32" s="76" t="n"/>
      <c r="BA32" s="76" t="n"/>
      <c r="BB32" s="76" t="n"/>
      <c r="BC32" s="76" t="n"/>
      <c r="BD32" s="76" t="n"/>
      <c r="BE32" s="76" t="n"/>
      <c r="BF32" s="76" t="n"/>
      <c r="BG32" s="76" t="n"/>
      <c r="BH32" s="76" t="n"/>
      <c r="BI32" s="76" t="n"/>
      <c r="BJ32" s="76" t="n"/>
      <c r="BK32" s="76" t="n"/>
      <c r="BL32" s="76" t="n"/>
      <c r="BM32" s="76" t="n"/>
      <c r="BN32" s="76" t="n"/>
      <c r="BO32" s="76" t="n"/>
      <c r="BP32" s="76" t="n"/>
      <c r="BQ32" s="76" t="n"/>
      <c r="BR32" s="76" t="n"/>
      <c r="BS32" s="76" t="n"/>
      <c r="BT32" s="76" t="n"/>
      <c r="BU32" s="76" t="n"/>
      <c r="BV32" s="76" t="n"/>
      <c r="BW32" s="76" t="n"/>
      <c r="BX32" s="76" t="n"/>
      <c r="BY32" s="76" t="n"/>
      <c r="BZ32" s="76" t="n"/>
      <c r="CA32" s="76" t="n"/>
      <c r="CB32" s="76" t="n"/>
      <c r="CC32" s="76" t="n"/>
      <c r="CD32" s="76" t="n"/>
      <c r="CE32" s="76" t="n"/>
      <c r="CF32" s="76" t="n"/>
      <c r="CG32" s="76" t="n"/>
      <c r="CH32" s="76" t="n"/>
      <c r="CI32" s="76" t="n"/>
      <c r="CJ32" s="76" t="n"/>
      <c r="CK32" s="76" t="n"/>
    </row>
    <row r="33">
      <c r="A33" s="33">
        <f>IF(Tasks!$B33="","",Tasks!B33)</f>
        <v/>
      </c>
      <c r="B33" s="34">
        <f>IF(Tasks!$B33="","",Tasks!D33)</f>
        <v/>
      </c>
      <c r="C33" s="34">
        <f>IF(Tasks!$B33="","",Tasks!E33)</f>
        <v/>
      </c>
      <c r="D33" s="45">
        <f>IF(Tasks!$B33="","",Tasks!G33)</f>
        <v/>
      </c>
      <c r="E33" s="45">
        <f>IF(Tasks!$B33="","",Tasks!H33)</f>
        <v/>
      </c>
      <c r="F33" s="76" t="n"/>
      <c r="G33" s="76" t="n"/>
      <c r="H33" s="76" t="n"/>
      <c r="I33" s="76" t="n"/>
      <c r="J33" s="76" t="n"/>
      <c r="K33" s="76" t="n"/>
      <c r="L33" s="76" t="n"/>
      <c r="M33" s="76" t="n"/>
      <c r="N33" s="76" t="n"/>
      <c r="O33" s="76" t="n"/>
      <c r="P33" s="76" t="n"/>
      <c r="Q33" s="76" t="n"/>
      <c r="R33" s="76" t="n"/>
      <c r="S33" s="76" t="n"/>
      <c r="T33" s="76" t="n"/>
      <c r="U33" s="76" t="n"/>
      <c r="V33" s="76" t="n"/>
      <c r="W33" s="76" t="n"/>
      <c r="X33" s="76" t="n"/>
      <c r="Y33" s="76" t="n"/>
      <c r="Z33" s="76" t="n"/>
      <c r="AA33" s="76" t="n"/>
      <c r="AB33" s="76" t="n"/>
      <c r="AC33" s="76" t="n"/>
      <c r="AD33" s="76" t="n"/>
      <c r="AE33" s="76" t="n"/>
      <c r="AF33" s="76" t="n"/>
      <c r="AG33" s="76" t="n"/>
      <c r="AH33" s="76" t="n"/>
      <c r="AI33" s="76" t="n"/>
      <c r="AJ33" s="76" t="n"/>
      <c r="AK33" s="76" t="n"/>
      <c r="AL33" s="76" t="n"/>
      <c r="AM33" s="76" t="n"/>
      <c r="AN33" s="76" t="n"/>
      <c r="AO33" s="76" t="n"/>
      <c r="AP33" s="76" t="n"/>
      <c r="AQ33" s="76" t="n"/>
      <c r="AR33" s="76" t="n"/>
      <c r="AS33" s="76" t="n"/>
      <c r="AT33" s="76" t="n"/>
      <c r="AU33" s="76" t="n"/>
      <c r="AV33" s="76" t="n"/>
      <c r="AW33" s="76" t="n"/>
      <c r="AX33" s="76" t="n"/>
      <c r="AY33" s="76" t="n"/>
      <c r="AZ33" s="76" t="n"/>
      <c r="BA33" s="76" t="n"/>
      <c r="BB33" s="76" t="n"/>
      <c r="BC33" s="76" t="n"/>
      <c r="BD33" s="76" t="n"/>
      <c r="BE33" s="76" t="n"/>
      <c r="BF33" s="76" t="n"/>
      <c r="BG33" s="76" t="n"/>
      <c r="BH33" s="76" t="n"/>
      <c r="BI33" s="76" t="n"/>
      <c r="BJ33" s="76" t="n"/>
      <c r="BK33" s="76" t="n"/>
      <c r="BL33" s="76" t="n"/>
      <c r="BM33" s="76" t="n"/>
      <c r="BN33" s="76" t="n"/>
      <c r="BO33" s="76" t="n"/>
      <c r="BP33" s="76" t="n"/>
      <c r="BQ33" s="76" t="n"/>
      <c r="BR33" s="76" t="n"/>
      <c r="BS33" s="76" t="n"/>
      <c r="BT33" s="76" t="n"/>
      <c r="BU33" s="76" t="n"/>
      <c r="BV33" s="76" t="n"/>
      <c r="BW33" s="76" t="n"/>
      <c r="BX33" s="76" t="n"/>
      <c r="BY33" s="76" t="n"/>
      <c r="BZ33" s="76" t="n"/>
      <c r="CA33" s="76" t="n"/>
      <c r="CB33" s="76" t="n"/>
      <c r="CC33" s="76" t="n"/>
      <c r="CD33" s="76" t="n"/>
      <c r="CE33" s="76" t="n"/>
      <c r="CF33" s="76" t="n"/>
      <c r="CG33" s="76" t="n"/>
      <c r="CH33" s="76" t="n"/>
      <c r="CI33" s="76" t="n"/>
      <c r="CJ33" s="76" t="n"/>
      <c r="CK33" s="76" t="n"/>
    </row>
    <row r="34">
      <c r="A34" s="33">
        <f>IF(Tasks!$B34="","",Tasks!B34)</f>
        <v/>
      </c>
      <c r="B34" s="34">
        <f>IF(Tasks!$B34="","",Tasks!D34)</f>
        <v/>
      </c>
      <c r="C34" s="34">
        <f>IF(Tasks!$B34="","",Tasks!E34)</f>
        <v/>
      </c>
      <c r="D34" s="45">
        <f>IF(Tasks!$B34="","",Tasks!G34)</f>
        <v/>
      </c>
      <c r="E34" s="45">
        <f>IF(Tasks!$B34="","",Tasks!H34)</f>
        <v/>
      </c>
      <c r="F34" s="76" t="n"/>
      <c r="G34" s="76" t="n"/>
      <c r="H34" s="76" t="n"/>
      <c r="I34" s="76" t="n"/>
      <c r="J34" s="76" t="n"/>
      <c r="K34" s="76" t="n"/>
      <c r="L34" s="76" t="n"/>
      <c r="M34" s="76" t="n"/>
      <c r="N34" s="76" t="n"/>
      <c r="O34" s="76" t="n"/>
      <c r="P34" s="76" t="n"/>
      <c r="Q34" s="76" t="n"/>
      <c r="R34" s="76" t="n"/>
      <c r="S34" s="76" t="n"/>
      <c r="T34" s="76" t="n"/>
      <c r="U34" s="76" t="n"/>
      <c r="V34" s="76" t="n"/>
      <c r="W34" s="76" t="n"/>
      <c r="X34" s="76" t="n"/>
      <c r="Y34" s="76" t="n"/>
      <c r="Z34" s="76" t="n"/>
      <c r="AA34" s="76" t="n"/>
      <c r="AB34" s="76" t="n"/>
      <c r="AC34" s="76" t="n"/>
      <c r="AD34" s="76" t="n"/>
      <c r="AE34" s="76" t="n"/>
      <c r="AF34" s="76" t="n"/>
      <c r="AG34" s="76" t="n"/>
      <c r="AH34" s="76" t="n"/>
      <c r="AI34" s="76" t="n"/>
      <c r="AJ34" s="76" t="n"/>
      <c r="AK34" s="76" t="n"/>
      <c r="AL34" s="76" t="n"/>
      <c r="AM34" s="76" t="n"/>
      <c r="AN34" s="76" t="n"/>
      <c r="AO34" s="76" t="n"/>
      <c r="AP34" s="76" t="n"/>
      <c r="AQ34" s="76" t="n"/>
      <c r="AR34" s="76" t="n"/>
      <c r="AS34" s="76" t="n"/>
      <c r="AT34" s="76" t="n"/>
      <c r="AU34" s="76" t="n"/>
      <c r="AV34" s="76" t="n"/>
      <c r="AW34" s="76" t="n"/>
      <c r="AX34" s="76" t="n"/>
      <c r="AY34" s="76" t="n"/>
      <c r="AZ34" s="76" t="n"/>
      <c r="BA34" s="76" t="n"/>
      <c r="BB34" s="76" t="n"/>
      <c r="BC34" s="76" t="n"/>
      <c r="BD34" s="76" t="n"/>
      <c r="BE34" s="76" t="n"/>
      <c r="BF34" s="76" t="n"/>
      <c r="BG34" s="76" t="n"/>
      <c r="BH34" s="76" t="n"/>
      <c r="BI34" s="76" t="n"/>
      <c r="BJ34" s="76" t="n"/>
      <c r="BK34" s="76" t="n"/>
      <c r="BL34" s="76" t="n"/>
      <c r="BM34" s="76" t="n"/>
      <c r="BN34" s="76" t="n"/>
      <c r="BO34" s="76" t="n"/>
      <c r="BP34" s="76" t="n"/>
      <c r="BQ34" s="76" t="n"/>
      <c r="BR34" s="76" t="n"/>
      <c r="BS34" s="76" t="n"/>
      <c r="BT34" s="76" t="n"/>
      <c r="BU34" s="76" t="n"/>
      <c r="BV34" s="76" t="n"/>
      <c r="BW34" s="76" t="n"/>
      <c r="BX34" s="76" t="n"/>
      <c r="BY34" s="76" t="n"/>
      <c r="BZ34" s="76" t="n"/>
      <c r="CA34" s="76" t="n"/>
      <c r="CB34" s="76" t="n"/>
      <c r="CC34" s="76" t="n"/>
      <c r="CD34" s="76" t="n"/>
      <c r="CE34" s="76" t="n"/>
      <c r="CF34" s="76" t="n"/>
      <c r="CG34" s="76" t="n"/>
      <c r="CH34" s="76" t="n"/>
      <c r="CI34" s="76" t="n"/>
      <c r="CJ34" s="76" t="n"/>
      <c r="CK34" s="76" t="n"/>
    </row>
    <row r="35">
      <c r="A35" s="33">
        <f>IF(Tasks!$B35="","",Tasks!B35)</f>
        <v/>
      </c>
      <c r="B35" s="34">
        <f>IF(Tasks!$B35="","",Tasks!D35)</f>
        <v/>
      </c>
      <c r="C35" s="34">
        <f>IF(Tasks!$B35="","",Tasks!E35)</f>
        <v/>
      </c>
      <c r="D35" s="45">
        <f>IF(Tasks!$B35="","",Tasks!G35)</f>
        <v/>
      </c>
      <c r="E35" s="45">
        <f>IF(Tasks!$B35="","",Tasks!H35)</f>
        <v/>
      </c>
      <c r="F35" s="76" t="n"/>
      <c r="G35" s="76" t="n"/>
      <c r="H35" s="76" t="n"/>
      <c r="I35" s="76" t="n"/>
      <c r="J35" s="76" t="n"/>
      <c r="K35" s="76" t="n"/>
      <c r="L35" s="76" t="n"/>
      <c r="M35" s="76" t="n"/>
      <c r="N35" s="76" t="n"/>
      <c r="O35" s="76" t="n"/>
      <c r="P35" s="76" t="n"/>
      <c r="Q35" s="76" t="n"/>
      <c r="R35" s="76" t="n"/>
      <c r="S35" s="76" t="n"/>
      <c r="T35" s="76" t="n"/>
      <c r="U35" s="76" t="n"/>
      <c r="V35" s="76" t="n"/>
      <c r="W35" s="76" t="n"/>
      <c r="X35" s="76" t="n"/>
      <c r="Y35" s="76" t="n"/>
      <c r="Z35" s="76" t="n"/>
      <c r="AA35" s="76" t="n"/>
      <c r="AB35" s="76" t="n"/>
      <c r="AC35" s="76" t="n"/>
      <c r="AD35" s="76" t="n"/>
      <c r="AE35" s="76" t="n"/>
      <c r="AF35" s="76" t="n"/>
      <c r="AG35" s="76" t="n"/>
      <c r="AH35" s="76" t="n"/>
      <c r="AI35" s="76" t="n"/>
      <c r="AJ35" s="76" t="n"/>
      <c r="AK35" s="76" t="n"/>
      <c r="AL35" s="76" t="n"/>
      <c r="AM35" s="76" t="n"/>
      <c r="AN35" s="76" t="n"/>
      <c r="AO35" s="76" t="n"/>
      <c r="AP35" s="76" t="n"/>
      <c r="AQ35" s="76" t="n"/>
      <c r="AR35" s="76" t="n"/>
      <c r="AS35" s="76" t="n"/>
      <c r="AT35" s="76" t="n"/>
      <c r="AU35" s="76" t="n"/>
      <c r="AV35" s="76" t="n"/>
      <c r="AW35" s="76" t="n"/>
      <c r="AX35" s="76" t="n"/>
      <c r="AY35" s="76" t="n"/>
      <c r="AZ35" s="76" t="n"/>
      <c r="BA35" s="76" t="n"/>
      <c r="BB35" s="76" t="n"/>
      <c r="BC35" s="76" t="n"/>
      <c r="BD35" s="76" t="n"/>
      <c r="BE35" s="76" t="n"/>
      <c r="BF35" s="76" t="n"/>
      <c r="BG35" s="76" t="n"/>
      <c r="BH35" s="76" t="n"/>
      <c r="BI35" s="76" t="n"/>
      <c r="BJ35" s="76" t="n"/>
      <c r="BK35" s="76" t="n"/>
      <c r="BL35" s="76" t="n"/>
      <c r="BM35" s="76" t="n"/>
      <c r="BN35" s="76" t="n"/>
      <c r="BO35" s="76" t="n"/>
      <c r="BP35" s="76" t="n"/>
      <c r="BQ35" s="76" t="n"/>
      <c r="BR35" s="76" t="n"/>
      <c r="BS35" s="76" t="n"/>
      <c r="BT35" s="76" t="n"/>
      <c r="BU35" s="76" t="n"/>
      <c r="BV35" s="76" t="n"/>
      <c r="BW35" s="76" t="n"/>
      <c r="BX35" s="76" t="n"/>
      <c r="BY35" s="76" t="n"/>
      <c r="BZ35" s="76" t="n"/>
      <c r="CA35" s="76" t="n"/>
      <c r="CB35" s="76" t="n"/>
      <c r="CC35" s="76" t="n"/>
      <c r="CD35" s="76" t="n"/>
      <c r="CE35" s="76" t="n"/>
      <c r="CF35" s="76" t="n"/>
      <c r="CG35" s="76" t="n"/>
      <c r="CH35" s="76" t="n"/>
      <c r="CI35" s="76" t="n"/>
      <c r="CJ35" s="76" t="n"/>
      <c r="CK35" s="76" t="n"/>
    </row>
    <row r="36">
      <c r="A36" s="33">
        <f>IF(Tasks!$B36="","",Tasks!B36)</f>
        <v/>
      </c>
      <c r="B36" s="34">
        <f>IF(Tasks!$B36="","",Tasks!D36)</f>
        <v/>
      </c>
      <c r="C36" s="34">
        <f>IF(Tasks!$B36="","",Tasks!E36)</f>
        <v/>
      </c>
      <c r="D36" s="45">
        <f>IF(Tasks!$B36="","",Tasks!G36)</f>
        <v/>
      </c>
      <c r="E36" s="45">
        <f>IF(Tasks!$B36="","",Tasks!H36)</f>
        <v/>
      </c>
      <c r="F36" s="76" t="n"/>
      <c r="G36" s="76" t="n"/>
      <c r="H36" s="76" t="n"/>
      <c r="I36" s="76" t="n"/>
      <c r="J36" s="76" t="n"/>
      <c r="K36" s="76" t="n"/>
      <c r="L36" s="76" t="n"/>
      <c r="M36" s="76" t="n"/>
      <c r="N36" s="76" t="n"/>
      <c r="O36" s="76" t="n"/>
      <c r="P36" s="76" t="n"/>
      <c r="Q36" s="76" t="n"/>
      <c r="R36" s="76" t="n"/>
      <c r="S36" s="76" t="n"/>
      <c r="T36" s="76" t="n"/>
      <c r="U36" s="76" t="n"/>
      <c r="V36" s="76" t="n"/>
      <c r="W36" s="76" t="n"/>
      <c r="X36" s="76" t="n"/>
      <c r="Y36" s="76" t="n"/>
      <c r="Z36" s="76" t="n"/>
      <c r="AA36" s="76" t="n"/>
      <c r="AB36" s="76" t="n"/>
      <c r="AC36" s="76" t="n"/>
      <c r="AD36" s="76" t="n"/>
      <c r="AE36" s="76" t="n"/>
      <c r="AF36" s="76" t="n"/>
      <c r="AG36" s="76" t="n"/>
      <c r="AH36" s="76" t="n"/>
      <c r="AI36" s="76" t="n"/>
      <c r="AJ36" s="76" t="n"/>
      <c r="AK36" s="76" t="n"/>
      <c r="AL36" s="76" t="n"/>
      <c r="AM36" s="76" t="n"/>
      <c r="AN36" s="76" t="n"/>
      <c r="AO36" s="76" t="n"/>
      <c r="AP36" s="76" t="n"/>
      <c r="AQ36" s="76" t="n"/>
      <c r="AR36" s="76" t="n"/>
      <c r="AS36" s="76" t="n"/>
      <c r="AT36" s="76" t="n"/>
      <c r="AU36" s="76" t="n"/>
      <c r="AV36" s="76" t="n"/>
      <c r="AW36" s="76" t="n"/>
      <c r="AX36" s="76" t="n"/>
      <c r="AY36" s="76" t="n"/>
      <c r="AZ36" s="76" t="n"/>
      <c r="BA36" s="76" t="n"/>
      <c r="BB36" s="76" t="n"/>
      <c r="BC36" s="76" t="n"/>
      <c r="BD36" s="76" t="n"/>
      <c r="BE36" s="76" t="n"/>
      <c r="BF36" s="76" t="n"/>
      <c r="BG36" s="76" t="n"/>
      <c r="BH36" s="76" t="n"/>
      <c r="BI36" s="76" t="n"/>
      <c r="BJ36" s="76" t="n"/>
      <c r="BK36" s="76" t="n"/>
      <c r="BL36" s="76" t="n"/>
      <c r="BM36" s="76" t="n"/>
      <c r="BN36" s="76" t="n"/>
      <c r="BO36" s="76" t="n"/>
      <c r="BP36" s="76" t="n"/>
      <c r="BQ36" s="76" t="n"/>
      <c r="BR36" s="76" t="n"/>
      <c r="BS36" s="76" t="n"/>
      <c r="BT36" s="76" t="n"/>
      <c r="BU36" s="76" t="n"/>
      <c r="BV36" s="76" t="n"/>
      <c r="BW36" s="76" t="n"/>
      <c r="BX36" s="76" t="n"/>
      <c r="BY36" s="76" t="n"/>
      <c r="BZ36" s="76" t="n"/>
      <c r="CA36" s="76" t="n"/>
      <c r="CB36" s="76" t="n"/>
      <c r="CC36" s="76" t="n"/>
      <c r="CD36" s="76" t="n"/>
      <c r="CE36" s="76" t="n"/>
      <c r="CF36" s="76" t="n"/>
      <c r="CG36" s="76" t="n"/>
      <c r="CH36" s="76" t="n"/>
      <c r="CI36" s="76" t="n"/>
      <c r="CJ36" s="76" t="n"/>
      <c r="CK36" s="76" t="n"/>
    </row>
    <row r="37">
      <c r="A37" s="33">
        <f>IF(Tasks!$B37="","",Tasks!B37)</f>
        <v/>
      </c>
      <c r="B37" s="34">
        <f>IF(Tasks!$B37="","",Tasks!D37)</f>
        <v/>
      </c>
      <c r="C37" s="34">
        <f>IF(Tasks!$B37="","",Tasks!E37)</f>
        <v/>
      </c>
      <c r="D37" s="45">
        <f>IF(Tasks!$B37="","",Tasks!G37)</f>
        <v/>
      </c>
      <c r="E37" s="45">
        <f>IF(Tasks!$B37="","",Tasks!H37)</f>
        <v/>
      </c>
      <c r="F37" s="76" t="n"/>
      <c r="G37" s="76" t="n"/>
      <c r="H37" s="76" t="n"/>
      <c r="I37" s="76" t="n"/>
      <c r="J37" s="76" t="n"/>
      <c r="K37" s="76" t="n"/>
      <c r="L37" s="76" t="n"/>
      <c r="M37" s="76" t="n"/>
      <c r="N37" s="76" t="n"/>
      <c r="O37" s="76" t="n"/>
      <c r="P37" s="76" t="n"/>
      <c r="Q37" s="76" t="n"/>
      <c r="R37" s="76" t="n"/>
      <c r="S37" s="76" t="n"/>
      <c r="T37" s="76" t="n"/>
      <c r="U37" s="76" t="n"/>
      <c r="V37" s="76" t="n"/>
      <c r="W37" s="76" t="n"/>
      <c r="X37" s="76" t="n"/>
      <c r="Y37" s="76" t="n"/>
      <c r="Z37" s="76" t="n"/>
      <c r="AA37" s="76" t="n"/>
      <c r="AB37" s="76" t="n"/>
      <c r="AC37" s="76" t="n"/>
      <c r="AD37" s="76" t="n"/>
      <c r="AE37" s="76" t="n"/>
      <c r="AF37" s="76" t="n"/>
      <c r="AG37" s="76" t="n"/>
      <c r="AH37" s="76" t="n"/>
      <c r="AI37" s="76" t="n"/>
      <c r="AJ37" s="76" t="n"/>
      <c r="AK37" s="76" t="n"/>
      <c r="AL37" s="76" t="n"/>
      <c r="AM37" s="76" t="n"/>
      <c r="AN37" s="76" t="n"/>
      <c r="AO37" s="76" t="n"/>
      <c r="AP37" s="76" t="n"/>
      <c r="AQ37" s="76" t="n"/>
      <c r="AR37" s="76" t="n"/>
      <c r="AS37" s="76" t="n"/>
      <c r="AT37" s="76" t="n"/>
      <c r="AU37" s="76" t="n"/>
      <c r="AV37" s="76" t="n"/>
      <c r="AW37" s="76" t="n"/>
      <c r="AX37" s="76" t="n"/>
      <c r="AY37" s="76" t="n"/>
      <c r="AZ37" s="76" t="n"/>
      <c r="BA37" s="76" t="n"/>
      <c r="BB37" s="76" t="n"/>
      <c r="BC37" s="76" t="n"/>
      <c r="BD37" s="76" t="n"/>
      <c r="BE37" s="76" t="n"/>
      <c r="BF37" s="76" t="n"/>
      <c r="BG37" s="76" t="n"/>
      <c r="BH37" s="76" t="n"/>
      <c r="BI37" s="76" t="n"/>
      <c r="BJ37" s="76" t="n"/>
      <c r="BK37" s="76" t="n"/>
      <c r="BL37" s="76" t="n"/>
      <c r="BM37" s="76" t="n"/>
      <c r="BN37" s="76" t="n"/>
      <c r="BO37" s="76" t="n"/>
      <c r="BP37" s="76" t="n"/>
      <c r="BQ37" s="76" t="n"/>
      <c r="BR37" s="76" t="n"/>
      <c r="BS37" s="76" t="n"/>
      <c r="BT37" s="76" t="n"/>
      <c r="BU37" s="76" t="n"/>
      <c r="BV37" s="76" t="n"/>
      <c r="BW37" s="76" t="n"/>
      <c r="BX37" s="76" t="n"/>
      <c r="BY37" s="76" t="n"/>
      <c r="BZ37" s="76" t="n"/>
      <c r="CA37" s="76" t="n"/>
      <c r="CB37" s="76" t="n"/>
      <c r="CC37" s="76" t="n"/>
      <c r="CD37" s="76" t="n"/>
      <c r="CE37" s="76" t="n"/>
      <c r="CF37" s="76" t="n"/>
      <c r="CG37" s="76" t="n"/>
      <c r="CH37" s="76" t="n"/>
      <c r="CI37" s="76" t="n"/>
      <c r="CJ37" s="76" t="n"/>
      <c r="CK37" s="76" t="n"/>
    </row>
    <row r="38">
      <c r="A38" s="33">
        <f>IF(Tasks!$B38="","",Tasks!B38)</f>
        <v/>
      </c>
      <c r="B38" s="34">
        <f>IF(Tasks!$B38="","",Tasks!D38)</f>
        <v/>
      </c>
      <c r="C38" s="34">
        <f>IF(Tasks!$B38="","",Tasks!E38)</f>
        <v/>
      </c>
      <c r="D38" s="45">
        <f>IF(Tasks!$B38="","",Tasks!G38)</f>
        <v/>
      </c>
      <c r="E38" s="45">
        <f>IF(Tasks!$B38="","",Tasks!H38)</f>
        <v/>
      </c>
      <c r="F38" s="76" t="n"/>
      <c r="G38" s="76" t="n"/>
      <c r="H38" s="76" t="n"/>
      <c r="I38" s="76" t="n"/>
      <c r="J38" s="76" t="n"/>
      <c r="K38" s="76" t="n"/>
      <c r="L38" s="76" t="n"/>
      <c r="M38" s="76" t="n"/>
      <c r="N38" s="76" t="n"/>
      <c r="O38" s="76" t="n"/>
      <c r="P38" s="76" t="n"/>
      <c r="Q38" s="76" t="n"/>
      <c r="R38" s="76" t="n"/>
      <c r="S38" s="76" t="n"/>
      <c r="T38" s="76" t="n"/>
      <c r="U38" s="76" t="n"/>
      <c r="V38" s="76" t="n"/>
      <c r="W38" s="76" t="n"/>
      <c r="X38" s="76" t="n"/>
      <c r="Y38" s="76" t="n"/>
      <c r="Z38" s="76" t="n"/>
      <c r="AA38" s="76" t="n"/>
      <c r="AB38" s="76" t="n"/>
      <c r="AC38" s="76" t="n"/>
      <c r="AD38" s="76" t="n"/>
      <c r="AE38" s="76" t="n"/>
      <c r="AF38" s="76" t="n"/>
      <c r="AG38" s="76" t="n"/>
      <c r="AH38" s="76" t="n"/>
      <c r="AI38" s="76" t="n"/>
      <c r="AJ38" s="76" t="n"/>
      <c r="AK38" s="76" t="n"/>
      <c r="AL38" s="76" t="n"/>
      <c r="AM38" s="76" t="n"/>
      <c r="AN38" s="76" t="n"/>
      <c r="AO38" s="76" t="n"/>
      <c r="AP38" s="76" t="n"/>
      <c r="AQ38" s="76" t="n"/>
      <c r="AR38" s="76" t="n"/>
      <c r="AS38" s="76" t="n"/>
      <c r="AT38" s="76" t="n"/>
      <c r="AU38" s="76" t="n"/>
      <c r="AV38" s="76" t="n"/>
      <c r="AW38" s="76" t="n"/>
      <c r="AX38" s="76" t="n"/>
      <c r="AY38" s="76" t="n"/>
      <c r="AZ38" s="76" t="n"/>
      <c r="BA38" s="76" t="n"/>
      <c r="BB38" s="76" t="n"/>
      <c r="BC38" s="76" t="n"/>
      <c r="BD38" s="76" t="n"/>
      <c r="BE38" s="76" t="n"/>
      <c r="BF38" s="76" t="n"/>
      <c r="BG38" s="76" t="n"/>
      <c r="BH38" s="76" t="n"/>
      <c r="BI38" s="76" t="n"/>
      <c r="BJ38" s="76" t="n"/>
      <c r="BK38" s="76" t="n"/>
      <c r="BL38" s="76" t="n"/>
      <c r="BM38" s="76" t="n"/>
      <c r="BN38" s="76" t="n"/>
      <c r="BO38" s="76" t="n"/>
      <c r="BP38" s="76" t="n"/>
      <c r="BQ38" s="76" t="n"/>
      <c r="BR38" s="76" t="n"/>
      <c r="BS38" s="76" t="n"/>
      <c r="BT38" s="76" t="n"/>
      <c r="BU38" s="76" t="n"/>
      <c r="BV38" s="76" t="n"/>
      <c r="BW38" s="76" t="n"/>
      <c r="BX38" s="76" t="n"/>
      <c r="BY38" s="76" t="n"/>
      <c r="BZ38" s="76" t="n"/>
      <c r="CA38" s="76" t="n"/>
      <c r="CB38" s="76" t="n"/>
      <c r="CC38" s="76" t="n"/>
      <c r="CD38" s="76" t="n"/>
      <c r="CE38" s="76" t="n"/>
      <c r="CF38" s="76" t="n"/>
      <c r="CG38" s="76" t="n"/>
      <c r="CH38" s="76" t="n"/>
      <c r="CI38" s="76" t="n"/>
      <c r="CJ38" s="76" t="n"/>
      <c r="CK38" s="76" t="n"/>
    </row>
    <row r="39">
      <c r="A39" s="33">
        <f>IF(Tasks!$B39="","",Tasks!B39)</f>
        <v/>
      </c>
      <c r="B39" s="34">
        <f>IF(Tasks!$B39="","",Tasks!D39)</f>
        <v/>
      </c>
      <c r="C39" s="34">
        <f>IF(Tasks!$B39="","",Tasks!E39)</f>
        <v/>
      </c>
      <c r="D39" s="45">
        <f>IF(Tasks!$B39="","",Tasks!G39)</f>
        <v/>
      </c>
      <c r="E39" s="45">
        <f>IF(Tasks!$B39="","",Tasks!H39)</f>
        <v/>
      </c>
      <c r="F39" s="76" t="n"/>
      <c r="G39" s="76" t="n"/>
      <c r="H39" s="76" t="n"/>
      <c r="I39" s="76" t="n"/>
      <c r="J39" s="76" t="n"/>
      <c r="K39" s="76" t="n"/>
      <c r="L39" s="76" t="n"/>
      <c r="M39" s="76" t="n"/>
      <c r="N39" s="76" t="n"/>
      <c r="O39" s="76" t="n"/>
      <c r="P39" s="76" t="n"/>
      <c r="Q39" s="76" t="n"/>
      <c r="R39" s="76" t="n"/>
      <c r="S39" s="76" t="n"/>
      <c r="T39" s="76" t="n"/>
      <c r="U39" s="76" t="n"/>
      <c r="V39" s="76" t="n"/>
      <c r="W39" s="76" t="n"/>
      <c r="X39" s="76" t="n"/>
      <c r="Y39" s="76" t="n"/>
      <c r="Z39" s="76" t="n"/>
      <c r="AA39" s="76" t="n"/>
      <c r="AB39" s="76" t="n"/>
      <c r="AC39" s="76" t="n"/>
      <c r="AD39" s="76" t="n"/>
      <c r="AE39" s="76" t="n"/>
      <c r="AF39" s="76" t="n"/>
      <c r="AG39" s="76" t="n"/>
      <c r="AH39" s="76" t="n"/>
      <c r="AI39" s="76" t="n"/>
      <c r="AJ39" s="76" t="n"/>
      <c r="AK39" s="76" t="n"/>
      <c r="AL39" s="76" t="n"/>
      <c r="AM39" s="76" t="n"/>
      <c r="AN39" s="76" t="n"/>
      <c r="AO39" s="76" t="n"/>
      <c r="AP39" s="76" t="n"/>
      <c r="AQ39" s="76" t="n"/>
      <c r="AR39" s="76" t="n"/>
      <c r="AS39" s="76" t="n"/>
      <c r="AT39" s="76" t="n"/>
      <c r="AU39" s="76" t="n"/>
      <c r="AV39" s="76" t="n"/>
      <c r="AW39" s="76" t="n"/>
      <c r="AX39" s="76" t="n"/>
      <c r="AY39" s="76" t="n"/>
      <c r="AZ39" s="76" t="n"/>
      <c r="BA39" s="76" t="n"/>
      <c r="BB39" s="76" t="n"/>
      <c r="BC39" s="76" t="n"/>
      <c r="BD39" s="76" t="n"/>
      <c r="BE39" s="76" t="n"/>
      <c r="BF39" s="76" t="n"/>
      <c r="BG39" s="76" t="n"/>
      <c r="BH39" s="76" t="n"/>
      <c r="BI39" s="76" t="n"/>
      <c r="BJ39" s="76" t="n"/>
      <c r="BK39" s="76" t="n"/>
      <c r="BL39" s="76" t="n"/>
      <c r="BM39" s="76" t="n"/>
      <c r="BN39" s="76" t="n"/>
      <c r="BO39" s="76" t="n"/>
      <c r="BP39" s="76" t="n"/>
      <c r="BQ39" s="76" t="n"/>
      <c r="BR39" s="76" t="n"/>
      <c r="BS39" s="76" t="n"/>
      <c r="BT39" s="76" t="n"/>
      <c r="BU39" s="76" t="n"/>
      <c r="BV39" s="76" t="n"/>
      <c r="BW39" s="76" t="n"/>
      <c r="BX39" s="76" t="n"/>
      <c r="BY39" s="76" t="n"/>
      <c r="BZ39" s="76" t="n"/>
      <c r="CA39" s="76" t="n"/>
      <c r="CB39" s="76" t="n"/>
      <c r="CC39" s="76" t="n"/>
      <c r="CD39" s="76" t="n"/>
      <c r="CE39" s="76" t="n"/>
      <c r="CF39" s="76" t="n"/>
      <c r="CG39" s="76" t="n"/>
      <c r="CH39" s="76" t="n"/>
      <c r="CI39" s="76" t="n"/>
      <c r="CJ39" s="76" t="n"/>
      <c r="CK39" s="76" t="n"/>
    </row>
    <row r="40">
      <c r="A40" s="33">
        <f>IF(Tasks!$B40="","",Tasks!B40)</f>
        <v/>
      </c>
      <c r="B40" s="34">
        <f>IF(Tasks!$B40="","",Tasks!D40)</f>
        <v/>
      </c>
      <c r="C40" s="34">
        <f>IF(Tasks!$B40="","",Tasks!E40)</f>
        <v/>
      </c>
      <c r="D40" s="45">
        <f>IF(Tasks!$B40="","",Tasks!G40)</f>
        <v/>
      </c>
      <c r="E40" s="45">
        <f>IF(Tasks!$B40="","",Tasks!H40)</f>
        <v/>
      </c>
      <c r="F40" s="76" t="n"/>
      <c r="G40" s="76" t="n"/>
      <c r="H40" s="76" t="n"/>
      <c r="I40" s="76" t="n"/>
      <c r="J40" s="76" t="n"/>
      <c r="K40" s="76" t="n"/>
      <c r="L40" s="76" t="n"/>
      <c r="M40" s="76" t="n"/>
      <c r="N40" s="76" t="n"/>
      <c r="O40" s="76" t="n"/>
      <c r="P40" s="76" t="n"/>
      <c r="Q40" s="76" t="n"/>
      <c r="R40" s="76" t="n"/>
      <c r="S40" s="76" t="n"/>
      <c r="T40" s="76" t="n"/>
      <c r="U40" s="76" t="n"/>
      <c r="V40" s="76" t="n"/>
      <c r="W40" s="76" t="n"/>
      <c r="X40" s="76" t="n"/>
      <c r="Y40" s="76" t="n"/>
      <c r="Z40" s="76" t="n"/>
      <c r="AA40" s="76" t="n"/>
      <c r="AB40" s="76" t="n"/>
      <c r="AC40" s="76" t="n"/>
      <c r="AD40" s="76" t="n"/>
      <c r="AE40" s="76" t="n"/>
      <c r="AF40" s="76" t="n"/>
      <c r="AG40" s="76" t="n"/>
      <c r="AH40" s="76" t="n"/>
      <c r="AI40" s="76" t="n"/>
      <c r="AJ40" s="76" t="n"/>
      <c r="AK40" s="76" t="n"/>
      <c r="AL40" s="76" t="n"/>
      <c r="AM40" s="76" t="n"/>
      <c r="AN40" s="76" t="n"/>
      <c r="AO40" s="76" t="n"/>
      <c r="AP40" s="76" t="n"/>
      <c r="AQ40" s="76" t="n"/>
      <c r="AR40" s="76" t="n"/>
      <c r="AS40" s="76" t="n"/>
      <c r="AT40" s="76" t="n"/>
      <c r="AU40" s="76" t="n"/>
      <c r="AV40" s="76" t="n"/>
      <c r="AW40" s="76" t="n"/>
      <c r="AX40" s="76" t="n"/>
      <c r="AY40" s="76" t="n"/>
      <c r="AZ40" s="76" t="n"/>
      <c r="BA40" s="76" t="n"/>
      <c r="BB40" s="76" t="n"/>
      <c r="BC40" s="76" t="n"/>
      <c r="BD40" s="76" t="n"/>
      <c r="BE40" s="76" t="n"/>
      <c r="BF40" s="76" t="n"/>
      <c r="BG40" s="76" t="n"/>
      <c r="BH40" s="76" t="n"/>
      <c r="BI40" s="76" t="n"/>
      <c r="BJ40" s="76" t="n"/>
      <c r="BK40" s="76" t="n"/>
      <c r="BL40" s="76" t="n"/>
      <c r="BM40" s="76" t="n"/>
      <c r="BN40" s="76" t="n"/>
      <c r="BO40" s="76" t="n"/>
      <c r="BP40" s="76" t="n"/>
      <c r="BQ40" s="76" t="n"/>
      <c r="BR40" s="76" t="n"/>
      <c r="BS40" s="76" t="n"/>
      <c r="BT40" s="76" t="n"/>
      <c r="BU40" s="76" t="n"/>
      <c r="BV40" s="76" t="n"/>
      <c r="BW40" s="76" t="n"/>
      <c r="BX40" s="76" t="n"/>
      <c r="BY40" s="76" t="n"/>
      <c r="BZ40" s="76" t="n"/>
      <c r="CA40" s="76" t="n"/>
      <c r="CB40" s="76" t="n"/>
      <c r="CC40" s="76" t="n"/>
      <c r="CD40" s="76" t="n"/>
      <c r="CE40" s="76" t="n"/>
      <c r="CF40" s="76" t="n"/>
      <c r="CG40" s="76" t="n"/>
      <c r="CH40" s="76" t="n"/>
      <c r="CI40" s="76" t="n"/>
      <c r="CJ40" s="76" t="n"/>
      <c r="CK40" s="76" t="n"/>
    </row>
    <row r="41">
      <c r="A41" s="33">
        <f>IF(Tasks!$B41="","",Tasks!B41)</f>
        <v/>
      </c>
      <c r="B41" s="34">
        <f>IF(Tasks!$B41="","",Tasks!D41)</f>
        <v/>
      </c>
      <c r="C41" s="34">
        <f>IF(Tasks!$B41="","",Tasks!E41)</f>
        <v/>
      </c>
      <c r="D41" s="45">
        <f>IF(Tasks!$B41="","",Tasks!G41)</f>
        <v/>
      </c>
      <c r="E41" s="45">
        <f>IF(Tasks!$B41="","",Tasks!H41)</f>
        <v/>
      </c>
      <c r="F41" s="76" t="n"/>
      <c r="G41" s="76" t="n"/>
      <c r="H41" s="76" t="n"/>
      <c r="I41" s="76" t="n"/>
      <c r="J41" s="76" t="n"/>
      <c r="K41" s="76" t="n"/>
      <c r="L41" s="76" t="n"/>
      <c r="M41" s="76" t="n"/>
      <c r="N41" s="76" t="n"/>
      <c r="O41" s="76" t="n"/>
      <c r="P41" s="76" t="n"/>
      <c r="Q41" s="76" t="n"/>
      <c r="R41" s="76" t="n"/>
      <c r="S41" s="76" t="n"/>
      <c r="T41" s="76" t="n"/>
      <c r="U41" s="76" t="n"/>
      <c r="V41" s="76" t="n"/>
      <c r="W41" s="76" t="n"/>
      <c r="X41" s="76" t="n"/>
      <c r="Y41" s="76" t="n"/>
      <c r="Z41" s="76" t="n"/>
      <c r="AA41" s="76" t="n"/>
      <c r="AB41" s="76" t="n"/>
      <c r="AC41" s="76" t="n"/>
      <c r="AD41" s="76" t="n"/>
      <c r="AE41" s="76" t="n"/>
      <c r="AF41" s="76" t="n"/>
      <c r="AG41" s="76" t="n"/>
      <c r="AH41" s="76" t="n"/>
      <c r="AI41" s="76" t="n"/>
      <c r="AJ41" s="76" t="n"/>
      <c r="AK41" s="76" t="n"/>
      <c r="AL41" s="76" t="n"/>
      <c r="AM41" s="76" t="n"/>
      <c r="AN41" s="76" t="n"/>
      <c r="AO41" s="76" t="n"/>
      <c r="AP41" s="76" t="n"/>
      <c r="AQ41" s="76" t="n"/>
      <c r="AR41" s="76" t="n"/>
      <c r="AS41" s="76" t="n"/>
      <c r="AT41" s="76" t="n"/>
      <c r="AU41" s="76" t="n"/>
      <c r="AV41" s="76" t="n"/>
      <c r="AW41" s="76" t="n"/>
      <c r="AX41" s="76" t="n"/>
      <c r="AY41" s="76" t="n"/>
      <c r="AZ41" s="76" t="n"/>
      <c r="BA41" s="76" t="n"/>
      <c r="BB41" s="76" t="n"/>
      <c r="BC41" s="76" t="n"/>
      <c r="BD41" s="76" t="n"/>
      <c r="BE41" s="76" t="n"/>
      <c r="BF41" s="76" t="n"/>
      <c r="BG41" s="76" t="n"/>
      <c r="BH41" s="76" t="n"/>
      <c r="BI41" s="76" t="n"/>
      <c r="BJ41" s="76" t="n"/>
      <c r="BK41" s="76" t="n"/>
      <c r="BL41" s="76" t="n"/>
      <c r="BM41" s="76" t="n"/>
      <c r="BN41" s="76" t="n"/>
      <c r="BO41" s="76" t="n"/>
      <c r="BP41" s="76" t="n"/>
      <c r="BQ41" s="76" t="n"/>
      <c r="BR41" s="76" t="n"/>
      <c r="BS41" s="76" t="n"/>
      <c r="BT41" s="76" t="n"/>
      <c r="BU41" s="76" t="n"/>
      <c r="BV41" s="76" t="n"/>
      <c r="BW41" s="76" t="n"/>
      <c r="BX41" s="76" t="n"/>
      <c r="BY41" s="76" t="n"/>
      <c r="BZ41" s="76" t="n"/>
      <c r="CA41" s="76" t="n"/>
      <c r="CB41" s="76" t="n"/>
      <c r="CC41" s="76" t="n"/>
      <c r="CD41" s="76" t="n"/>
      <c r="CE41" s="76" t="n"/>
      <c r="CF41" s="76" t="n"/>
      <c r="CG41" s="76" t="n"/>
      <c r="CH41" s="76" t="n"/>
      <c r="CI41" s="76" t="n"/>
      <c r="CJ41" s="76" t="n"/>
      <c r="CK41" s="76" t="n"/>
    </row>
    <row r="42">
      <c r="A42" s="33">
        <f>IF(Tasks!$B42="","",Tasks!B42)</f>
        <v/>
      </c>
      <c r="B42" s="34">
        <f>IF(Tasks!$B42="","",Tasks!D42)</f>
        <v/>
      </c>
      <c r="C42" s="34">
        <f>IF(Tasks!$B42="","",Tasks!E42)</f>
        <v/>
      </c>
      <c r="D42" s="45">
        <f>IF(Tasks!$B42="","",Tasks!G42)</f>
        <v/>
      </c>
      <c r="E42" s="45">
        <f>IF(Tasks!$B42="","",Tasks!H42)</f>
        <v/>
      </c>
      <c r="F42" s="76" t="n"/>
      <c r="G42" s="76" t="n"/>
      <c r="H42" s="76" t="n"/>
      <c r="I42" s="76" t="n"/>
      <c r="J42" s="76" t="n"/>
      <c r="K42" s="76" t="n"/>
      <c r="L42" s="76" t="n"/>
      <c r="M42" s="76" t="n"/>
      <c r="N42" s="76" t="n"/>
      <c r="O42" s="76" t="n"/>
      <c r="P42" s="76" t="n"/>
      <c r="Q42" s="76" t="n"/>
      <c r="R42" s="76" t="n"/>
      <c r="S42" s="76" t="n"/>
      <c r="T42" s="76" t="n"/>
      <c r="U42" s="76" t="n"/>
      <c r="V42" s="76" t="n"/>
      <c r="W42" s="76" t="n"/>
      <c r="X42" s="76" t="n"/>
      <c r="Y42" s="76" t="n"/>
      <c r="Z42" s="76" t="n"/>
      <c r="AA42" s="76" t="n"/>
      <c r="AB42" s="76" t="n"/>
      <c r="AC42" s="76" t="n"/>
      <c r="AD42" s="76" t="n"/>
      <c r="AE42" s="76" t="n"/>
      <c r="AF42" s="76" t="n"/>
      <c r="AG42" s="76" t="n"/>
      <c r="AH42" s="76" t="n"/>
      <c r="AI42" s="76" t="n"/>
      <c r="AJ42" s="76" t="n"/>
      <c r="AK42" s="76" t="n"/>
      <c r="AL42" s="76" t="n"/>
      <c r="AM42" s="76" t="n"/>
      <c r="AN42" s="76" t="n"/>
      <c r="AO42" s="76" t="n"/>
      <c r="AP42" s="76" t="n"/>
      <c r="AQ42" s="76" t="n"/>
      <c r="AR42" s="76" t="n"/>
      <c r="AS42" s="76" t="n"/>
      <c r="AT42" s="76" t="n"/>
      <c r="AU42" s="76" t="n"/>
      <c r="AV42" s="76" t="n"/>
      <c r="AW42" s="76" t="n"/>
      <c r="AX42" s="76" t="n"/>
      <c r="AY42" s="76" t="n"/>
      <c r="AZ42" s="76" t="n"/>
      <c r="BA42" s="76" t="n"/>
      <c r="BB42" s="76" t="n"/>
      <c r="BC42" s="76" t="n"/>
      <c r="BD42" s="76" t="n"/>
      <c r="BE42" s="76" t="n"/>
      <c r="BF42" s="76" t="n"/>
      <c r="BG42" s="76" t="n"/>
      <c r="BH42" s="76" t="n"/>
      <c r="BI42" s="76" t="n"/>
      <c r="BJ42" s="76" t="n"/>
      <c r="BK42" s="76" t="n"/>
      <c r="BL42" s="76" t="n"/>
      <c r="BM42" s="76" t="n"/>
      <c r="BN42" s="76" t="n"/>
      <c r="BO42" s="76" t="n"/>
      <c r="BP42" s="76" t="n"/>
      <c r="BQ42" s="76" t="n"/>
      <c r="BR42" s="76" t="n"/>
      <c r="BS42" s="76" t="n"/>
      <c r="BT42" s="76" t="n"/>
      <c r="BU42" s="76" t="n"/>
      <c r="BV42" s="76" t="n"/>
      <c r="BW42" s="76" t="n"/>
      <c r="BX42" s="76" t="n"/>
      <c r="BY42" s="76" t="n"/>
      <c r="BZ42" s="76" t="n"/>
      <c r="CA42" s="76" t="n"/>
      <c r="CB42" s="76" t="n"/>
      <c r="CC42" s="76" t="n"/>
      <c r="CD42" s="76" t="n"/>
      <c r="CE42" s="76" t="n"/>
      <c r="CF42" s="76" t="n"/>
      <c r="CG42" s="76" t="n"/>
      <c r="CH42" s="76" t="n"/>
      <c r="CI42" s="76" t="n"/>
      <c r="CJ42" s="76" t="n"/>
      <c r="CK42" s="76" t="n"/>
    </row>
    <row r="43">
      <c r="A43" s="33">
        <f>IF(Tasks!$B43="","",Tasks!B43)</f>
        <v/>
      </c>
      <c r="B43" s="34">
        <f>IF(Tasks!$B43="","",Tasks!D43)</f>
        <v/>
      </c>
      <c r="C43" s="34">
        <f>IF(Tasks!$B43="","",Tasks!E43)</f>
        <v/>
      </c>
      <c r="D43" s="45">
        <f>IF(Tasks!$B43="","",Tasks!G43)</f>
        <v/>
      </c>
      <c r="E43" s="45">
        <f>IF(Tasks!$B43="","",Tasks!H43)</f>
        <v/>
      </c>
      <c r="F43" s="76" t="n"/>
      <c r="G43" s="76" t="n"/>
      <c r="H43" s="76" t="n"/>
      <c r="I43" s="76" t="n"/>
      <c r="J43" s="76" t="n"/>
      <c r="K43" s="76" t="n"/>
      <c r="L43" s="76" t="n"/>
      <c r="M43" s="76" t="n"/>
      <c r="N43" s="76" t="n"/>
      <c r="O43" s="76" t="n"/>
      <c r="P43" s="76" t="n"/>
      <c r="Q43" s="76" t="n"/>
      <c r="R43" s="76" t="n"/>
      <c r="S43" s="76" t="n"/>
      <c r="T43" s="76" t="n"/>
      <c r="U43" s="76" t="n"/>
      <c r="V43" s="76" t="n"/>
      <c r="W43" s="76" t="n"/>
      <c r="X43" s="76" t="n"/>
      <c r="Y43" s="76" t="n"/>
      <c r="Z43" s="76" t="n"/>
      <c r="AA43" s="76" t="n"/>
      <c r="AB43" s="76" t="n"/>
      <c r="AC43" s="76" t="n"/>
      <c r="AD43" s="76" t="n"/>
      <c r="AE43" s="76" t="n"/>
      <c r="AF43" s="76" t="n"/>
      <c r="AG43" s="76" t="n"/>
      <c r="AH43" s="76" t="n"/>
      <c r="AI43" s="76" t="n"/>
      <c r="AJ43" s="76" t="n"/>
      <c r="AK43" s="76" t="n"/>
      <c r="AL43" s="76" t="n"/>
      <c r="AM43" s="76" t="n"/>
      <c r="AN43" s="76" t="n"/>
      <c r="AO43" s="76" t="n"/>
      <c r="AP43" s="76" t="n"/>
      <c r="AQ43" s="76" t="n"/>
      <c r="AR43" s="76" t="n"/>
      <c r="AS43" s="76" t="n"/>
      <c r="AT43" s="76" t="n"/>
      <c r="AU43" s="76" t="n"/>
      <c r="AV43" s="76" t="n"/>
      <c r="AW43" s="76" t="n"/>
      <c r="AX43" s="76" t="n"/>
      <c r="AY43" s="76" t="n"/>
      <c r="AZ43" s="76" t="n"/>
      <c r="BA43" s="76" t="n"/>
      <c r="BB43" s="76" t="n"/>
      <c r="BC43" s="76" t="n"/>
      <c r="BD43" s="76" t="n"/>
      <c r="BE43" s="76" t="n"/>
      <c r="BF43" s="76" t="n"/>
      <c r="BG43" s="76" t="n"/>
      <c r="BH43" s="76" t="n"/>
      <c r="BI43" s="76" t="n"/>
      <c r="BJ43" s="76" t="n"/>
      <c r="BK43" s="76" t="n"/>
      <c r="BL43" s="76" t="n"/>
      <c r="BM43" s="76" t="n"/>
      <c r="BN43" s="76" t="n"/>
      <c r="BO43" s="76" t="n"/>
      <c r="BP43" s="76" t="n"/>
      <c r="BQ43" s="76" t="n"/>
      <c r="BR43" s="76" t="n"/>
      <c r="BS43" s="76" t="n"/>
      <c r="BT43" s="76" t="n"/>
      <c r="BU43" s="76" t="n"/>
      <c r="BV43" s="76" t="n"/>
      <c r="BW43" s="76" t="n"/>
      <c r="BX43" s="76" t="n"/>
      <c r="BY43" s="76" t="n"/>
      <c r="BZ43" s="76" t="n"/>
      <c r="CA43" s="76" t="n"/>
      <c r="CB43" s="76" t="n"/>
      <c r="CC43" s="76" t="n"/>
      <c r="CD43" s="76" t="n"/>
      <c r="CE43" s="76" t="n"/>
      <c r="CF43" s="76" t="n"/>
      <c r="CG43" s="76" t="n"/>
      <c r="CH43" s="76" t="n"/>
      <c r="CI43" s="76" t="n"/>
      <c r="CJ43" s="76" t="n"/>
      <c r="CK43" s="76" t="n"/>
    </row>
    <row r="44">
      <c r="A44" s="33">
        <f>IF(Tasks!$B44="","",Tasks!B44)</f>
        <v/>
      </c>
      <c r="B44" s="34">
        <f>IF(Tasks!$B44="","",Tasks!D44)</f>
        <v/>
      </c>
      <c r="C44" s="34">
        <f>IF(Tasks!$B44="","",Tasks!E44)</f>
        <v/>
      </c>
      <c r="D44" s="45">
        <f>IF(Tasks!$B44="","",Tasks!G44)</f>
        <v/>
      </c>
      <c r="E44" s="45">
        <f>IF(Tasks!$B44="","",Tasks!H44)</f>
        <v/>
      </c>
      <c r="F44" s="76" t="n"/>
      <c r="G44" s="76" t="n"/>
      <c r="H44" s="76" t="n"/>
      <c r="I44" s="76" t="n"/>
      <c r="J44" s="76" t="n"/>
      <c r="K44" s="76" t="n"/>
      <c r="L44" s="76" t="n"/>
      <c r="M44" s="76" t="n"/>
      <c r="N44" s="76" t="n"/>
      <c r="O44" s="76" t="n"/>
      <c r="P44" s="76" t="n"/>
      <c r="Q44" s="76" t="n"/>
      <c r="R44" s="76" t="n"/>
      <c r="S44" s="76" t="n"/>
      <c r="T44" s="76" t="n"/>
      <c r="U44" s="76" t="n"/>
      <c r="V44" s="76" t="n"/>
      <c r="W44" s="76" t="n"/>
      <c r="X44" s="76" t="n"/>
      <c r="Y44" s="76" t="n"/>
      <c r="Z44" s="76" t="n"/>
      <c r="AA44" s="76" t="n"/>
      <c r="AB44" s="76" t="n"/>
      <c r="AC44" s="76" t="n"/>
      <c r="AD44" s="76" t="n"/>
      <c r="AE44" s="76" t="n"/>
      <c r="AF44" s="76" t="n"/>
      <c r="AG44" s="76" t="n"/>
      <c r="AH44" s="76" t="n"/>
      <c r="AI44" s="76" t="n"/>
      <c r="AJ44" s="76" t="n"/>
      <c r="AK44" s="76" t="n"/>
      <c r="AL44" s="76" t="n"/>
      <c r="AM44" s="76" t="n"/>
      <c r="AN44" s="76" t="n"/>
      <c r="AO44" s="76" t="n"/>
      <c r="AP44" s="76" t="n"/>
      <c r="AQ44" s="76" t="n"/>
      <c r="AR44" s="76" t="n"/>
      <c r="AS44" s="76" t="n"/>
      <c r="AT44" s="76" t="n"/>
      <c r="AU44" s="76" t="n"/>
      <c r="AV44" s="76" t="n"/>
      <c r="AW44" s="76" t="n"/>
      <c r="AX44" s="76" t="n"/>
      <c r="AY44" s="76" t="n"/>
      <c r="AZ44" s="76" t="n"/>
      <c r="BA44" s="76" t="n"/>
      <c r="BB44" s="76" t="n"/>
      <c r="BC44" s="76" t="n"/>
      <c r="BD44" s="76" t="n"/>
      <c r="BE44" s="76" t="n"/>
      <c r="BF44" s="76" t="n"/>
      <c r="BG44" s="76" t="n"/>
      <c r="BH44" s="76" t="n"/>
      <c r="BI44" s="76" t="n"/>
      <c r="BJ44" s="76" t="n"/>
      <c r="BK44" s="76" t="n"/>
      <c r="BL44" s="76" t="n"/>
      <c r="BM44" s="76" t="n"/>
      <c r="BN44" s="76" t="n"/>
      <c r="BO44" s="76" t="n"/>
      <c r="BP44" s="76" t="n"/>
      <c r="BQ44" s="76" t="n"/>
      <c r="BR44" s="76" t="n"/>
      <c r="BS44" s="76" t="n"/>
      <c r="BT44" s="76" t="n"/>
      <c r="BU44" s="76" t="n"/>
      <c r="BV44" s="76" t="n"/>
      <c r="BW44" s="76" t="n"/>
      <c r="BX44" s="76" t="n"/>
      <c r="BY44" s="76" t="n"/>
      <c r="BZ44" s="76" t="n"/>
      <c r="CA44" s="76" t="n"/>
      <c r="CB44" s="76" t="n"/>
      <c r="CC44" s="76" t="n"/>
      <c r="CD44" s="76" t="n"/>
      <c r="CE44" s="76" t="n"/>
      <c r="CF44" s="76" t="n"/>
      <c r="CG44" s="76" t="n"/>
      <c r="CH44" s="76" t="n"/>
      <c r="CI44" s="76" t="n"/>
      <c r="CJ44" s="76" t="n"/>
      <c r="CK44" s="76" t="n"/>
    </row>
    <row r="45">
      <c r="A45" s="33">
        <f>IF(Tasks!$B45="","",Tasks!B45)</f>
        <v/>
      </c>
      <c r="B45" s="34">
        <f>IF(Tasks!$B45="","",Tasks!D45)</f>
        <v/>
      </c>
      <c r="C45" s="34">
        <f>IF(Tasks!$B45="","",Tasks!E45)</f>
        <v/>
      </c>
      <c r="D45" s="45">
        <f>IF(Tasks!$B45="","",Tasks!G45)</f>
        <v/>
      </c>
      <c r="E45" s="45">
        <f>IF(Tasks!$B45="","",Tasks!H45)</f>
        <v/>
      </c>
      <c r="F45" s="76" t="n"/>
      <c r="G45" s="76" t="n"/>
      <c r="H45" s="76" t="n"/>
      <c r="I45" s="76" t="n"/>
      <c r="J45" s="76" t="n"/>
      <c r="K45" s="76" t="n"/>
      <c r="L45" s="76" t="n"/>
      <c r="M45" s="76" t="n"/>
      <c r="N45" s="76" t="n"/>
      <c r="O45" s="76" t="n"/>
      <c r="P45" s="76" t="n"/>
      <c r="Q45" s="76" t="n"/>
      <c r="R45" s="76" t="n"/>
      <c r="S45" s="76" t="n"/>
      <c r="T45" s="76" t="n"/>
      <c r="U45" s="76" t="n"/>
      <c r="V45" s="76" t="n"/>
      <c r="W45" s="76" t="n"/>
      <c r="X45" s="76" t="n"/>
      <c r="Y45" s="76" t="n"/>
      <c r="Z45" s="76" t="n"/>
      <c r="AA45" s="76" t="n"/>
      <c r="AB45" s="76" t="n"/>
      <c r="AC45" s="76" t="n"/>
      <c r="AD45" s="76" t="n"/>
      <c r="AE45" s="76" t="n"/>
      <c r="AF45" s="76" t="n"/>
      <c r="AG45" s="76" t="n"/>
      <c r="AH45" s="76" t="n"/>
      <c r="AI45" s="76" t="n"/>
      <c r="AJ45" s="76" t="n"/>
      <c r="AK45" s="76" t="n"/>
      <c r="AL45" s="76" t="n"/>
      <c r="AM45" s="76" t="n"/>
      <c r="AN45" s="76" t="n"/>
      <c r="AO45" s="76" t="n"/>
      <c r="AP45" s="76" t="n"/>
      <c r="AQ45" s="76" t="n"/>
      <c r="AR45" s="76" t="n"/>
      <c r="AS45" s="76" t="n"/>
      <c r="AT45" s="76" t="n"/>
      <c r="AU45" s="76" t="n"/>
      <c r="AV45" s="76" t="n"/>
      <c r="AW45" s="76" t="n"/>
      <c r="AX45" s="76" t="n"/>
      <c r="AY45" s="76" t="n"/>
      <c r="AZ45" s="76" t="n"/>
      <c r="BA45" s="76" t="n"/>
      <c r="BB45" s="76" t="n"/>
      <c r="BC45" s="76" t="n"/>
      <c r="BD45" s="76" t="n"/>
      <c r="BE45" s="76" t="n"/>
      <c r="BF45" s="76" t="n"/>
      <c r="BG45" s="76" t="n"/>
      <c r="BH45" s="76" t="n"/>
      <c r="BI45" s="76" t="n"/>
      <c r="BJ45" s="76" t="n"/>
      <c r="BK45" s="76" t="n"/>
      <c r="BL45" s="76" t="n"/>
      <c r="BM45" s="76" t="n"/>
      <c r="BN45" s="76" t="n"/>
      <c r="BO45" s="76" t="n"/>
      <c r="BP45" s="76" t="n"/>
      <c r="BQ45" s="76" t="n"/>
      <c r="BR45" s="76" t="n"/>
      <c r="BS45" s="76" t="n"/>
      <c r="BT45" s="76" t="n"/>
      <c r="BU45" s="76" t="n"/>
      <c r="BV45" s="76" t="n"/>
      <c r="BW45" s="76" t="n"/>
      <c r="BX45" s="76" t="n"/>
      <c r="BY45" s="76" t="n"/>
      <c r="BZ45" s="76" t="n"/>
      <c r="CA45" s="76" t="n"/>
      <c r="CB45" s="76" t="n"/>
      <c r="CC45" s="76" t="n"/>
      <c r="CD45" s="76" t="n"/>
      <c r="CE45" s="76" t="n"/>
      <c r="CF45" s="76" t="n"/>
      <c r="CG45" s="76" t="n"/>
      <c r="CH45" s="76" t="n"/>
      <c r="CI45" s="76" t="n"/>
      <c r="CJ45" s="76" t="n"/>
      <c r="CK45" s="76" t="n"/>
    </row>
    <row r="46">
      <c r="A46" s="33">
        <f>IF(Tasks!$B46="","",Tasks!B46)</f>
        <v/>
      </c>
      <c r="B46" s="34">
        <f>IF(Tasks!$B46="","",Tasks!D46)</f>
        <v/>
      </c>
      <c r="C46" s="34">
        <f>IF(Tasks!$B46="","",Tasks!E46)</f>
        <v/>
      </c>
      <c r="D46" s="45">
        <f>IF(Tasks!$B46="","",Tasks!G46)</f>
        <v/>
      </c>
      <c r="E46" s="45">
        <f>IF(Tasks!$B46="","",Tasks!H46)</f>
        <v/>
      </c>
      <c r="F46" s="76" t="n"/>
      <c r="G46" s="76" t="n"/>
      <c r="H46" s="76" t="n"/>
      <c r="I46" s="76" t="n"/>
      <c r="J46" s="76" t="n"/>
      <c r="K46" s="76" t="n"/>
      <c r="L46" s="76" t="n"/>
      <c r="M46" s="76" t="n"/>
      <c r="N46" s="76" t="n"/>
      <c r="O46" s="76" t="n"/>
      <c r="P46" s="76" t="n"/>
      <c r="Q46" s="76" t="n"/>
      <c r="R46" s="76" t="n"/>
      <c r="S46" s="76" t="n"/>
      <c r="T46" s="76" t="n"/>
      <c r="U46" s="76" t="n"/>
      <c r="V46" s="76" t="n"/>
      <c r="W46" s="76" t="n"/>
      <c r="X46" s="76" t="n"/>
      <c r="Y46" s="76" t="n"/>
      <c r="Z46" s="76" t="n"/>
      <c r="AA46" s="76" t="n"/>
      <c r="AB46" s="76" t="n"/>
      <c r="AC46" s="76" t="n"/>
      <c r="AD46" s="76" t="n"/>
      <c r="AE46" s="76" t="n"/>
      <c r="AF46" s="76" t="n"/>
      <c r="AG46" s="76" t="n"/>
      <c r="AH46" s="76" t="n"/>
      <c r="AI46" s="76" t="n"/>
      <c r="AJ46" s="76" t="n"/>
      <c r="AK46" s="76" t="n"/>
      <c r="AL46" s="76" t="n"/>
      <c r="AM46" s="76" t="n"/>
      <c r="AN46" s="76" t="n"/>
      <c r="AO46" s="76" t="n"/>
      <c r="AP46" s="76" t="n"/>
      <c r="AQ46" s="76" t="n"/>
      <c r="AR46" s="76" t="n"/>
      <c r="AS46" s="76" t="n"/>
      <c r="AT46" s="76" t="n"/>
      <c r="AU46" s="76" t="n"/>
      <c r="AV46" s="76" t="n"/>
      <c r="AW46" s="76" t="n"/>
      <c r="AX46" s="76" t="n"/>
      <c r="AY46" s="76" t="n"/>
      <c r="AZ46" s="76" t="n"/>
      <c r="BA46" s="76" t="n"/>
      <c r="BB46" s="76" t="n"/>
      <c r="BC46" s="76" t="n"/>
      <c r="BD46" s="76" t="n"/>
      <c r="BE46" s="76" t="n"/>
      <c r="BF46" s="76" t="n"/>
      <c r="BG46" s="76" t="n"/>
      <c r="BH46" s="76" t="n"/>
      <c r="BI46" s="76" t="n"/>
      <c r="BJ46" s="76" t="n"/>
      <c r="BK46" s="76" t="n"/>
      <c r="BL46" s="76" t="n"/>
      <c r="BM46" s="76" t="n"/>
      <c r="BN46" s="76" t="n"/>
      <c r="BO46" s="76" t="n"/>
      <c r="BP46" s="76" t="n"/>
      <c r="BQ46" s="76" t="n"/>
      <c r="BR46" s="76" t="n"/>
      <c r="BS46" s="76" t="n"/>
      <c r="BT46" s="76" t="n"/>
      <c r="BU46" s="76" t="n"/>
      <c r="BV46" s="76" t="n"/>
      <c r="BW46" s="76" t="n"/>
      <c r="BX46" s="76" t="n"/>
      <c r="BY46" s="76" t="n"/>
      <c r="BZ46" s="76" t="n"/>
      <c r="CA46" s="76" t="n"/>
      <c r="CB46" s="76" t="n"/>
      <c r="CC46" s="76" t="n"/>
      <c r="CD46" s="76" t="n"/>
      <c r="CE46" s="76" t="n"/>
      <c r="CF46" s="76" t="n"/>
      <c r="CG46" s="76" t="n"/>
      <c r="CH46" s="76" t="n"/>
      <c r="CI46" s="76" t="n"/>
      <c r="CJ46" s="76" t="n"/>
      <c r="CK46" s="76" t="n"/>
    </row>
    <row r="47">
      <c r="A47" s="33">
        <f>IF(Tasks!$B47="","",Tasks!B47)</f>
        <v/>
      </c>
      <c r="B47" s="34">
        <f>IF(Tasks!$B47="","",Tasks!D47)</f>
        <v/>
      </c>
      <c r="C47" s="34">
        <f>IF(Tasks!$B47="","",Tasks!E47)</f>
        <v/>
      </c>
      <c r="D47" s="45">
        <f>IF(Tasks!$B47="","",Tasks!G47)</f>
        <v/>
      </c>
      <c r="E47" s="45">
        <f>IF(Tasks!$B47="","",Tasks!H47)</f>
        <v/>
      </c>
      <c r="F47" s="76" t="n"/>
      <c r="G47" s="76" t="n"/>
      <c r="H47" s="76" t="n"/>
      <c r="I47" s="76" t="n"/>
      <c r="J47" s="76" t="n"/>
      <c r="K47" s="76" t="n"/>
      <c r="L47" s="76" t="n"/>
      <c r="M47" s="76" t="n"/>
      <c r="N47" s="76" t="n"/>
      <c r="O47" s="76" t="n"/>
      <c r="P47" s="76" t="n"/>
      <c r="Q47" s="76" t="n"/>
      <c r="R47" s="76" t="n"/>
      <c r="S47" s="76" t="n"/>
      <c r="T47" s="76" t="n"/>
      <c r="U47" s="76" t="n"/>
      <c r="V47" s="76" t="n"/>
      <c r="W47" s="76" t="n"/>
      <c r="X47" s="76" t="n"/>
      <c r="Y47" s="76" t="n"/>
      <c r="Z47" s="76" t="n"/>
      <c r="AA47" s="76" t="n"/>
      <c r="AB47" s="76" t="n"/>
      <c r="AC47" s="76" t="n"/>
      <c r="AD47" s="76" t="n"/>
      <c r="AE47" s="76" t="n"/>
      <c r="AF47" s="76" t="n"/>
      <c r="AG47" s="76" t="n"/>
      <c r="AH47" s="76" t="n"/>
      <c r="AI47" s="76" t="n"/>
      <c r="AJ47" s="76" t="n"/>
      <c r="AK47" s="76" t="n"/>
      <c r="AL47" s="76" t="n"/>
      <c r="AM47" s="76" t="n"/>
      <c r="AN47" s="76" t="n"/>
      <c r="AO47" s="76" t="n"/>
      <c r="AP47" s="76" t="n"/>
      <c r="AQ47" s="76" t="n"/>
      <c r="AR47" s="76" t="n"/>
      <c r="AS47" s="76" t="n"/>
      <c r="AT47" s="76" t="n"/>
      <c r="AU47" s="76" t="n"/>
      <c r="AV47" s="76" t="n"/>
      <c r="AW47" s="76" t="n"/>
      <c r="AX47" s="76" t="n"/>
      <c r="AY47" s="76" t="n"/>
      <c r="AZ47" s="76" t="n"/>
      <c r="BA47" s="76" t="n"/>
      <c r="BB47" s="76" t="n"/>
      <c r="BC47" s="76" t="n"/>
      <c r="BD47" s="76" t="n"/>
      <c r="BE47" s="76" t="n"/>
      <c r="BF47" s="76" t="n"/>
      <c r="BG47" s="76" t="n"/>
      <c r="BH47" s="76" t="n"/>
      <c r="BI47" s="76" t="n"/>
      <c r="BJ47" s="76" t="n"/>
      <c r="BK47" s="76" t="n"/>
      <c r="BL47" s="76" t="n"/>
      <c r="BM47" s="76" t="n"/>
      <c r="BN47" s="76" t="n"/>
      <c r="BO47" s="76" t="n"/>
      <c r="BP47" s="76" t="n"/>
      <c r="BQ47" s="76" t="n"/>
      <c r="BR47" s="76" t="n"/>
      <c r="BS47" s="76" t="n"/>
      <c r="BT47" s="76" t="n"/>
      <c r="BU47" s="76" t="n"/>
      <c r="BV47" s="76" t="n"/>
      <c r="BW47" s="76" t="n"/>
      <c r="BX47" s="76" t="n"/>
      <c r="BY47" s="76" t="n"/>
      <c r="BZ47" s="76" t="n"/>
      <c r="CA47" s="76" t="n"/>
      <c r="CB47" s="76" t="n"/>
      <c r="CC47" s="76" t="n"/>
      <c r="CD47" s="76" t="n"/>
      <c r="CE47" s="76" t="n"/>
      <c r="CF47" s="76" t="n"/>
      <c r="CG47" s="76" t="n"/>
      <c r="CH47" s="76" t="n"/>
      <c r="CI47" s="76" t="n"/>
      <c r="CJ47" s="76" t="n"/>
      <c r="CK47" s="76" t="n"/>
    </row>
    <row r="48">
      <c r="A48" s="33">
        <f>IF(Tasks!$B48="","",Tasks!B48)</f>
        <v/>
      </c>
      <c r="B48" s="34">
        <f>IF(Tasks!$B48="","",Tasks!D48)</f>
        <v/>
      </c>
      <c r="C48" s="34">
        <f>IF(Tasks!$B48="","",Tasks!E48)</f>
        <v/>
      </c>
      <c r="D48" s="45">
        <f>IF(Tasks!$B48="","",Tasks!G48)</f>
        <v/>
      </c>
      <c r="E48" s="45">
        <f>IF(Tasks!$B48="","",Tasks!H48)</f>
        <v/>
      </c>
      <c r="F48" s="76" t="n"/>
      <c r="G48" s="76" t="n"/>
      <c r="H48" s="76" t="n"/>
      <c r="I48" s="76" t="n"/>
      <c r="J48" s="76" t="n"/>
      <c r="K48" s="76" t="n"/>
      <c r="L48" s="76" t="n"/>
      <c r="M48" s="76" t="n"/>
      <c r="N48" s="76" t="n"/>
      <c r="O48" s="76" t="n"/>
      <c r="P48" s="76" t="n"/>
      <c r="Q48" s="76" t="n"/>
      <c r="R48" s="76" t="n"/>
      <c r="S48" s="76" t="n"/>
      <c r="T48" s="76" t="n"/>
      <c r="U48" s="76" t="n"/>
      <c r="V48" s="76" t="n"/>
      <c r="W48" s="76" t="n"/>
      <c r="X48" s="76" t="n"/>
      <c r="Y48" s="76" t="n"/>
      <c r="Z48" s="76" t="n"/>
      <c r="AA48" s="76" t="n"/>
      <c r="AB48" s="76" t="n"/>
      <c r="AC48" s="76" t="n"/>
      <c r="AD48" s="76" t="n"/>
      <c r="AE48" s="76" t="n"/>
      <c r="AF48" s="76" t="n"/>
      <c r="AG48" s="76" t="n"/>
      <c r="AH48" s="76" t="n"/>
      <c r="AI48" s="76" t="n"/>
      <c r="AJ48" s="76" t="n"/>
      <c r="AK48" s="76" t="n"/>
      <c r="AL48" s="76" t="n"/>
      <c r="AM48" s="76" t="n"/>
      <c r="AN48" s="76" t="n"/>
      <c r="AO48" s="76" t="n"/>
      <c r="AP48" s="76" t="n"/>
      <c r="AQ48" s="76" t="n"/>
      <c r="AR48" s="76" t="n"/>
      <c r="AS48" s="76" t="n"/>
      <c r="AT48" s="76" t="n"/>
      <c r="AU48" s="76" t="n"/>
      <c r="AV48" s="76" t="n"/>
      <c r="AW48" s="76" t="n"/>
      <c r="AX48" s="76" t="n"/>
      <c r="AY48" s="76" t="n"/>
      <c r="AZ48" s="76" t="n"/>
      <c r="BA48" s="76" t="n"/>
      <c r="BB48" s="76" t="n"/>
      <c r="BC48" s="76" t="n"/>
      <c r="BD48" s="76" t="n"/>
      <c r="BE48" s="76" t="n"/>
      <c r="BF48" s="76" t="n"/>
      <c r="BG48" s="76" t="n"/>
      <c r="BH48" s="76" t="n"/>
      <c r="BI48" s="76" t="n"/>
      <c r="BJ48" s="76" t="n"/>
      <c r="BK48" s="76" t="n"/>
      <c r="BL48" s="76" t="n"/>
      <c r="BM48" s="76" t="n"/>
      <c r="BN48" s="76" t="n"/>
      <c r="BO48" s="76" t="n"/>
      <c r="BP48" s="76" t="n"/>
      <c r="BQ48" s="76" t="n"/>
      <c r="BR48" s="76" t="n"/>
      <c r="BS48" s="76" t="n"/>
      <c r="BT48" s="76" t="n"/>
      <c r="BU48" s="76" t="n"/>
      <c r="BV48" s="76" t="n"/>
      <c r="BW48" s="76" t="n"/>
      <c r="BX48" s="76" t="n"/>
      <c r="BY48" s="76" t="n"/>
      <c r="BZ48" s="76" t="n"/>
      <c r="CA48" s="76" t="n"/>
      <c r="CB48" s="76" t="n"/>
      <c r="CC48" s="76" t="n"/>
      <c r="CD48" s="76" t="n"/>
      <c r="CE48" s="76" t="n"/>
      <c r="CF48" s="76" t="n"/>
      <c r="CG48" s="76" t="n"/>
      <c r="CH48" s="76" t="n"/>
      <c r="CI48" s="76" t="n"/>
      <c r="CJ48" s="76" t="n"/>
      <c r="CK48" s="76" t="n"/>
    </row>
    <row r="49">
      <c r="A49" s="33">
        <f>IF(Tasks!$B49="","",Tasks!B49)</f>
        <v/>
      </c>
      <c r="B49" s="34">
        <f>IF(Tasks!$B49="","",Tasks!D49)</f>
        <v/>
      </c>
      <c r="C49" s="34">
        <f>IF(Tasks!$B49="","",Tasks!E49)</f>
        <v/>
      </c>
      <c r="D49" s="45">
        <f>IF(Tasks!$B49="","",Tasks!G49)</f>
        <v/>
      </c>
      <c r="E49" s="45">
        <f>IF(Tasks!$B49="","",Tasks!H49)</f>
        <v/>
      </c>
      <c r="F49" s="76" t="n"/>
      <c r="G49" s="76" t="n"/>
      <c r="H49" s="76" t="n"/>
      <c r="I49" s="76" t="n"/>
      <c r="J49" s="76" t="n"/>
      <c r="K49" s="76" t="n"/>
      <c r="L49" s="76" t="n"/>
      <c r="M49" s="76" t="n"/>
      <c r="N49" s="76" t="n"/>
      <c r="O49" s="76" t="n"/>
      <c r="P49" s="76" t="n"/>
      <c r="Q49" s="76" t="n"/>
      <c r="R49" s="76" t="n"/>
      <c r="S49" s="76" t="n"/>
      <c r="T49" s="76" t="n"/>
      <c r="U49" s="76" t="n"/>
      <c r="V49" s="76" t="n"/>
      <c r="W49" s="76" t="n"/>
      <c r="X49" s="76" t="n"/>
      <c r="Y49" s="76" t="n"/>
      <c r="Z49" s="76" t="n"/>
      <c r="AA49" s="76" t="n"/>
      <c r="AB49" s="76" t="n"/>
      <c r="AC49" s="76" t="n"/>
      <c r="AD49" s="76" t="n"/>
      <c r="AE49" s="76" t="n"/>
      <c r="AF49" s="76" t="n"/>
      <c r="AG49" s="76" t="n"/>
      <c r="AH49" s="76" t="n"/>
      <c r="AI49" s="76" t="n"/>
      <c r="AJ49" s="76" t="n"/>
      <c r="AK49" s="76" t="n"/>
      <c r="AL49" s="76" t="n"/>
      <c r="AM49" s="76" t="n"/>
      <c r="AN49" s="76" t="n"/>
      <c r="AO49" s="76" t="n"/>
      <c r="AP49" s="76" t="n"/>
      <c r="AQ49" s="76" t="n"/>
      <c r="AR49" s="76" t="n"/>
      <c r="AS49" s="76" t="n"/>
      <c r="AT49" s="76" t="n"/>
      <c r="AU49" s="76" t="n"/>
      <c r="AV49" s="76" t="n"/>
      <c r="AW49" s="76" t="n"/>
      <c r="AX49" s="76" t="n"/>
      <c r="AY49" s="76" t="n"/>
      <c r="AZ49" s="76" t="n"/>
      <c r="BA49" s="76" t="n"/>
      <c r="BB49" s="76" t="n"/>
      <c r="BC49" s="76" t="n"/>
      <c r="BD49" s="76" t="n"/>
      <c r="BE49" s="76" t="n"/>
      <c r="BF49" s="76" t="n"/>
      <c r="BG49" s="76" t="n"/>
      <c r="BH49" s="76" t="n"/>
      <c r="BI49" s="76" t="n"/>
      <c r="BJ49" s="76" t="n"/>
      <c r="BK49" s="76" t="n"/>
      <c r="BL49" s="76" t="n"/>
      <c r="BM49" s="76" t="n"/>
      <c r="BN49" s="76" t="n"/>
      <c r="BO49" s="76" t="n"/>
      <c r="BP49" s="76" t="n"/>
      <c r="BQ49" s="76" t="n"/>
      <c r="BR49" s="76" t="n"/>
      <c r="BS49" s="76" t="n"/>
      <c r="BT49" s="76" t="n"/>
      <c r="BU49" s="76" t="n"/>
      <c r="BV49" s="76" t="n"/>
      <c r="BW49" s="76" t="n"/>
      <c r="BX49" s="76" t="n"/>
      <c r="BY49" s="76" t="n"/>
      <c r="BZ49" s="76" t="n"/>
      <c r="CA49" s="76" t="n"/>
      <c r="CB49" s="76" t="n"/>
      <c r="CC49" s="76" t="n"/>
      <c r="CD49" s="76" t="n"/>
      <c r="CE49" s="76" t="n"/>
      <c r="CF49" s="76" t="n"/>
      <c r="CG49" s="76" t="n"/>
      <c r="CH49" s="76" t="n"/>
      <c r="CI49" s="76" t="n"/>
      <c r="CJ49" s="76" t="n"/>
      <c r="CK49" s="76" t="n"/>
    </row>
    <row r="50">
      <c r="A50" s="33">
        <f>IF(Tasks!$B50="","",Tasks!B50)</f>
        <v/>
      </c>
      <c r="B50" s="34">
        <f>IF(Tasks!$B50="","",Tasks!D50)</f>
        <v/>
      </c>
      <c r="C50" s="34">
        <f>IF(Tasks!$B50="","",Tasks!E50)</f>
        <v/>
      </c>
      <c r="D50" s="45">
        <f>IF(Tasks!$B50="","",Tasks!G50)</f>
        <v/>
      </c>
      <c r="E50" s="45">
        <f>IF(Tasks!$B50="","",Tasks!H50)</f>
        <v/>
      </c>
      <c r="F50" s="76" t="n"/>
      <c r="G50" s="76" t="n"/>
      <c r="H50" s="76" t="n"/>
      <c r="I50" s="76" t="n"/>
      <c r="J50" s="76" t="n"/>
      <c r="K50" s="76" t="n"/>
      <c r="L50" s="76" t="n"/>
      <c r="M50" s="76" t="n"/>
      <c r="N50" s="76" t="n"/>
      <c r="O50" s="76" t="n"/>
      <c r="P50" s="76" t="n"/>
      <c r="Q50" s="76" t="n"/>
      <c r="R50" s="76" t="n"/>
      <c r="S50" s="76" t="n"/>
      <c r="T50" s="76" t="n"/>
      <c r="U50" s="76" t="n"/>
      <c r="V50" s="76" t="n"/>
      <c r="W50" s="76" t="n"/>
      <c r="X50" s="76" t="n"/>
      <c r="Y50" s="76" t="n"/>
      <c r="Z50" s="76" t="n"/>
      <c r="AA50" s="76" t="n"/>
      <c r="AB50" s="76" t="n"/>
      <c r="AC50" s="76" t="n"/>
      <c r="AD50" s="76" t="n"/>
      <c r="AE50" s="76" t="n"/>
      <c r="AF50" s="76" t="n"/>
      <c r="AG50" s="76" t="n"/>
      <c r="AH50" s="76" t="n"/>
      <c r="AI50" s="76" t="n"/>
      <c r="AJ50" s="76" t="n"/>
      <c r="AK50" s="76" t="n"/>
      <c r="AL50" s="76" t="n"/>
      <c r="AM50" s="76" t="n"/>
      <c r="AN50" s="76" t="n"/>
      <c r="AO50" s="76" t="n"/>
      <c r="AP50" s="76" t="n"/>
      <c r="AQ50" s="76" t="n"/>
      <c r="AR50" s="76" t="n"/>
      <c r="AS50" s="76" t="n"/>
      <c r="AT50" s="76" t="n"/>
      <c r="AU50" s="76" t="n"/>
      <c r="AV50" s="76" t="n"/>
      <c r="AW50" s="76" t="n"/>
      <c r="AX50" s="76" t="n"/>
      <c r="AY50" s="76" t="n"/>
      <c r="AZ50" s="76" t="n"/>
      <c r="BA50" s="76" t="n"/>
      <c r="BB50" s="76" t="n"/>
      <c r="BC50" s="76" t="n"/>
      <c r="BD50" s="76" t="n"/>
      <c r="BE50" s="76" t="n"/>
      <c r="BF50" s="76" t="n"/>
      <c r="BG50" s="76" t="n"/>
      <c r="BH50" s="76" t="n"/>
      <c r="BI50" s="76" t="n"/>
      <c r="BJ50" s="76" t="n"/>
      <c r="BK50" s="76" t="n"/>
      <c r="BL50" s="76" t="n"/>
      <c r="BM50" s="76" t="n"/>
      <c r="BN50" s="76" t="n"/>
      <c r="BO50" s="76" t="n"/>
      <c r="BP50" s="76" t="n"/>
      <c r="BQ50" s="76" t="n"/>
      <c r="BR50" s="76" t="n"/>
      <c r="BS50" s="76" t="n"/>
      <c r="BT50" s="76" t="n"/>
      <c r="BU50" s="76" t="n"/>
      <c r="BV50" s="76" t="n"/>
      <c r="BW50" s="76" t="n"/>
      <c r="BX50" s="76" t="n"/>
      <c r="BY50" s="76" t="n"/>
      <c r="BZ50" s="76" t="n"/>
      <c r="CA50" s="76" t="n"/>
      <c r="CB50" s="76" t="n"/>
      <c r="CC50" s="76" t="n"/>
      <c r="CD50" s="76" t="n"/>
      <c r="CE50" s="76" t="n"/>
      <c r="CF50" s="76" t="n"/>
      <c r="CG50" s="76" t="n"/>
      <c r="CH50" s="76" t="n"/>
      <c r="CI50" s="76" t="n"/>
      <c r="CJ50" s="76" t="n"/>
      <c r="CK50" s="76" t="n"/>
    </row>
    <row r="51">
      <c r="A51" s="33">
        <f>IF(Tasks!$B51="","",Tasks!B51)</f>
        <v/>
      </c>
      <c r="B51" s="34">
        <f>IF(Tasks!$B51="","",Tasks!D51)</f>
        <v/>
      </c>
      <c r="C51" s="34">
        <f>IF(Tasks!$B51="","",Tasks!E51)</f>
        <v/>
      </c>
      <c r="D51" s="45">
        <f>IF(Tasks!$B51="","",Tasks!G51)</f>
        <v/>
      </c>
      <c r="E51" s="45">
        <f>IF(Tasks!$B51="","",Tasks!H51)</f>
        <v/>
      </c>
      <c r="F51" s="76" t="n"/>
      <c r="G51" s="76" t="n"/>
      <c r="H51" s="76" t="n"/>
      <c r="I51" s="76" t="n"/>
      <c r="J51" s="76" t="n"/>
      <c r="K51" s="76" t="n"/>
      <c r="L51" s="76" t="n"/>
      <c r="M51" s="76" t="n"/>
      <c r="N51" s="76" t="n"/>
      <c r="O51" s="76" t="n"/>
      <c r="P51" s="76" t="n"/>
      <c r="Q51" s="76" t="n"/>
      <c r="R51" s="76" t="n"/>
      <c r="S51" s="76" t="n"/>
      <c r="T51" s="76" t="n"/>
      <c r="U51" s="76" t="n"/>
      <c r="V51" s="76" t="n"/>
      <c r="W51" s="76" t="n"/>
      <c r="X51" s="76" t="n"/>
      <c r="Y51" s="76" t="n"/>
      <c r="Z51" s="76" t="n"/>
      <c r="AA51" s="76" t="n"/>
      <c r="AB51" s="76" t="n"/>
      <c r="AC51" s="76" t="n"/>
      <c r="AD51" s="76" t="n"/>
      <c r="AE51" s="76" t="n"/>
      <c r="AF51" s="76" t="n"/>
      <c r="AG51" s="76" t="n"/>
      <c r="AH51" s="76" t="n"/>
      <c r="AI51" s="76" t="n"/>
      <c r="AJ51" s="76" t="n"/>
      <c r="AK51" s="76" t="n"/>
      <c r="AL51" s="76" t="n"/>
      <c r="AM51" s="76" t="n"/>
      <c r="AN51" s="76" t="n"/>
      <c r="AO51" s="76" t="n"/>
      <c r="AP51" s="76" t="n"/>
      <c r="AQ51" s="76" t="n"/>
      <c r="AR51" s="76" t="n"/>
      <c r="AS51" s="76" t="n"/>
      <c r="AT51" s="76" t="n"/>
      <c r="AU51" s="76" t="n"/>
      <c r="AV51" s="76" t="n"/>
      <c r="AW51" s="76" t="n"/>
      <c r="AX51" s="76" t="n"/>
      <c r="AY51" s="76" t="n"/>
      <c r="AZ51" s="76" t="n"/>
      <c r="BA51" s="76" t="n"/>
      <c r="BB51" s="76" t="n"/>
      <c r="BC51" s="76" t="n"/>
      <c r="BD51" s="76" t="n"/>
      <c r="BE51" s="76" t="n"/>
      <c r="BF51" s="76" t="n"/>
      <c r="BG51" s="76" t="n"/>
      <c r="BH51" s="76" t="n"/>
      <c r="BI51" s="76" t="n"/>
      <c r="BJ51" s="76" t="n"/>
      <c r="BK51" s="76" t="n"/>
      <c r="BL51" s="76" t="n"/>
      <c r="BM51" s="76" t="n"/>
      <c r="BN51" s="76" t="n"/>
      <c r="BO51" s="76" t="n"/>
      <c r="BP51" s="76" t="n"/>
      <c r="BQ51" s="76" t="n"/>
      <c r="BR51" s="76" t="n"/>
      <c r="BS51" s="76" t="n"/>
      <c r="BT51" s="76" t="n"/>
      <c r="BU51" s="76" t="n"/>
      <c r="BV51" s="76" t="n"/>
      <c r="BW51" s="76" t="n"/>
      <c r="BX51" s="76" t="n"/>
      <c r="BY51" s="76" t="n"/>
      <c r="BZ51" s="76" t="n"/>
      <c r="CA51" s="76" t="n"/>
      <c r="CB51" s="76" t="n"/>
      <c r="CC51" s="76" t="n"/>
      <c r="CD51" s="76" t="n"/>
      <c r="CE51" s="76" t="n"/>
      <c r="CF51" s="76" t="n"/>
      <c r="CG51" s="76" t="n"/>
      <c r="CH51" s="76" t="n"/>
      <c r="CI51" s="76" t="n"/>
      <c r="CJ51" s="76" t="n"/>
      <c r="CK51" s="76" t="n"/>
    </row>
    <row r="52">
      <c r="A52" s="33">
        <f>IF(Tasks!$B52="","",Tasks!B52)</f>
        <v/>
      </c>
      <c r="B52" s="34">
        <f>IF(Tasks!$B52="","",Tasks!D52)</f>
        <v/>
      </c>
      <c r="C52" s="34">
        <f>IF(Tasks!$B52="","",Tasks!E52)</f>
        <v/>
      </c>
      <c r="D52" s="45">
        <f>IF(Tasks!$B52="","",Tasks!G52)</f>
        <v/>
      </c>
      <c r="E52" s="45">
        <f>IF(Tasks!$B52="","",Tasks!H52)</f>
        <v/>
      </c>
      <c r="F52" s="76" t="n"/>
      <c r="G52" s="76" t="n"/>
      <c r="H52" s="76" t="n"/>
      <c r="I52" s="76" t="n"/>
      <c r="J52" s="76" t="n"/>
      <c r="K52" s="76" t="n"/>
      <c r="L52" s="76" t="n"/>
      <c r="M52" s="76" t="n"/>
      <c r="N52" s="76" t="n"/>
      <c r="O52" s="76" t="n"/>
      <c r="P52" s="76" t="n"/>
      <c r="Q52" s="76" t="n"/>
      <c r="R52" s="76" t="n"/>
      <c r="S52" s="76" t="n"/>
      <c r="T52" s="76" t="n"/>
      <c r="U52" s="76" t="n"/>
      <c r="V52" s="76" t="n"/>
      <c r="W52" s="76" t="n"/>
      <c r="X52" s="76" t="n"/>
      <c r="Y52" s="76" t="n"/>
      <c r="Z52" s="76" t="n"/>
      <c r="AA52" s="76" t="n"/>
      <c r="AB52" s="76" t="n"/>
      <c r="AC52" s="76" t="n"/>
      <c r="AD52" s="76" t="n"/>
      <c r="AE52" s="76" t="n"/>
      <c r="AF52" s="76" t="n"/>
      <c r="AG52" s="76" t="n"/>
      <c r="AH52" s="76" t="n"/>
      <c r="AI52" s="76" t="n"/>
      <c r="AJ52" s="76" t="n"/>
      <c r="AK52" s="76" t="n"/>
      <c r="AL52" s="76" t="n"/>
      <c r="AM52" s="76" t="n"/>
      <c r="AN52" s="76" t="n"/>
      <c r="AO52" s="76" t="n"/>
      <c r="AP52" s="76" t="n"/>
      <c r="AQ52" s="76" t="n"/>
      <c r="AR52" s="76" t="n"/>
      <c r="AS52" s="76" t="n"/>
      <c r="AT52" s="76" t="n"/>
      <c r="AU52" s="76" t="n"/>
      <c r="AV52" s="76" t="n"/>
      <c r="AW52" s="76" t="n"/>
      <c r="AX52" s="76" t="n"/>
      <c r="AY52" s="76" t="n"/>
      <c r="AZ52" s="76" t="n"/>
      <c r="BA52" s="76" t="n"/>
      <c r="BB52" s="76" t="n"/>
      <c r="BC52" s="76" t="n"/>
      <c r="BD52" s="76" t="n"/>
      <c r="BE52" s="76" t="n"/>
      <c r="BF52" s="76" t="n"/>
      <c r="BG52" s="76" t="n"/>
      <c r="BH52" s="76" t="n"/>
      <c r="BI52" s="76" t="n"/>
      <c r="BJ52" s="76" t="n"/>
      <c r="BK52" s="76" t="n"/>
      <c r="BL52" s="76" t="n"/>
      <c r="BM52" s="76" t="n"/>
      <c r="BN52" s="76" t="n"/>
      <c r="BO52" s="76" t="n"/>
      <c r="BP52" s="76" t="n"/>
      <c r="BQ52" s="76" t="n"/>
      <c r="BR52" s="76" t="n"/>
      <c r="BS52" s="76" t="n"/>
      <c r="BT52" s="76" t="n"/>
      <c r="BU52" s="76" t="n"/>
      <c r="BV52" s="76" t="n"/>
      <c r="BW52" s="76" t="n"/>
      <c r="BX52" s="76" t="n"/>
      <c r="BY52" s="76" t="n"/>
      <c r="BZ52" s="76" t="n"/>
      <c r="CA52" s="76" t="n"/>
      <c r="CB52" s="76" t="n"/>
      <c r="CC52" s="76" t="n"/>
      <c r="CD52" s="76" t="n"/>
      <c r="CE52" s="76" t="n"/>
      <c r="CF52" s="76" t="n"/>
      <c r="CG52" s="76" t="n"/>
      <c r="CH52" s="76" t="n"/>
      <c r="CI52" s="76" t="n"/>
      <c r="CJ52" s="76" t="n"/>
      <c r="CK52" s="76" t="n"/>
    </row>
    <row r="53">
      <c r="A53" s="33">
        <f>IF(Tasks!$B53="","",Tasks!B53)</f>
        <v/>
      </c>
      <c r="B53" s="34">
        <f>IF(Tasks!$B53="","",Tasks!D53)</f>
        <v/>
      </c>
      <c r="C53" s="34">
        <f>IF(Tasks!$B53="","",Tasks!E53)</f>
        <v/>
      </c>
      <c r="D53" s="45">
        <f>IF(Tasks!$B53="","",Tasks!G53)</f>
        <v/>
      </c>
      <c r="E53" s="45">
        <f>IF(Tasks!$B53="","",Tasks!H53)</f>
        <v/>
      </c>
      <c r="F53" s="76" t="n"/>
      <c r="G53" s="76" t="n"/>
      <c r="H53" s="76" t="n"/>
      <c r="I53" s="76" t="n"/>
      <c r="J53" s="76" t="n"/>
      <c r="K53" s="76" t="n"/>
      <c r="L53" s="76" t="n"/>
      <c r="M53" s="76" t="n"/>
      <c r="N53" s="76" t="n"/>
      <c r="O53" s="76" t="n"/>
      <c r="P53" s="76" t="n"/>
      <c r="Q53" s="76" t="n"/>
      <c r="R53" s="76" t="n"/>
      <c r="S53" s="76" t="n"/>
      <c r="T53" s="76" t="n"/>
      <c r="U53" s="76" t="n"/>
      <c r="V53" s="76" t="n"/>
      <c r="W53" s="76" t="n"/>
      <c r="X53" s="76" t="n"/>
      <c r="Y53" s="76" t="n"/>
      <c r="Z53" s="76" t="n"/>
      <c r="AA53" s="76" t="n"/>
      <c r="AB53" s="76" t="n"/>
      <c r="AC53" s="76" t="n"/>
      <c r="AD53" s="76" t="n"/>
      <c r="AE53" s="76" t="n"/>
      <c r="AF53" s="76" t="n"/>
      <c r="AG53" s="76" t="n"/>
      <c r="AH53" s="76" t="n"/>
      <c r="AI53" s="76" t="n"/>
      <c r="AJ53" s="76" t="n"/>
      <c r="AK53" s="76" t="n"/>
      <c r="AL53" s="76" t="n"/>
      <c r="AM53" s="76" t="n"/>
      <c r="AN53" s="76" t="n"/>
      <c r="AO53" s="76" t="n"/>
      <c r="AP53" s="76" t="n"/>
      <c r="AQ53" s="76" t="n"/>
      <c r="AR53" s="76" t="n"/>
      <c r="AS53" s="76" t="n"/>
      <c r="AT53" s="76" t="n"/>
      <c r="AU53" s="76" t="n"/>
      <c r="AV53" s="76" t="n"/>
      <c r="AW53" s="76" t="n"/>
      <c r="AX53" s="76" t="n"/>
      <c r="AY53" s="76" t="n"/>
      <c r="AZ53" s="76" t="n"/>
      <c r="BA53" s="76" t="n"/>
      <c r="BB53" s="76" t="n"/>
      <c r="BC53" s="76" t="n"/>
      <c r="BD53" s="76" t="n"/>
      <c r="BE53" s="76" t="n"/>
      <c r="BF53" s="76" t="n"/>
      <c r="BG53" s="76" t="n"/>
      <c r="BH53" s="76" t="n"/>
      <c r="BI53" s="76" t="n"/>
      <c r="BJ53" s="76" t="n"/>
      <c r="BK53" s="76" t="n"/>
      <c r="BL53" s="76" t="n"/>
      <c r="BM53" s="76" t="n"/>
      <c r="BN53" s="76" t="n"/>
      <c r="BO53" s="76" t="n"/>
      <c r="BP53" s="76" t="n"/>
      <c r="BQ53" s="76" t="n"/>
      <c r="BR53" s="76" t="n"/>
      <c r="BS53" s="76" t="n"/>
      <c r="BT53" s="76" t="n"/>
      <c r="BU53" s="76" t="n"/>
      <c r="BV53" s="76" t="n"/>
      <c r="BW53" s="76" t="n"/>
      <c r="BX53" s="76" t="n"/>
      <c r="BY53" s="76" t="n"/>
      <c r="BZ53" s="76" t="n"/>
      <c r="CA53" s="76" t="n"/>
      <c r="CB53" s="76" t="n"/>
      <c r="CC53" s="76" t="n"/>
      <c r="CD53" s="76" t="n"/>
      <c r="CE53" s="76" t="n"/>
      <c r="CF53" s="76" t="n"/>
      <c r="CG53" s="76" t="n"/>
      <c r="CH53" s="76" t="n"/>
      <c r="CI53" s="76" t="n"/>
      <c r="CJ53" s="76" t="n"/>
      <c r="CK53" s="76" t="n"/>
    </row>
    <row r="54">
      <c r="A54" s="33">
        <f>IF(Tasks!$B54="","",Tasks!B54)</f>
        <v/>
      </c>
      <c r="B54" s="34">
        <f>IF(Tasks!$B54="","",Tasks!D54)</f>
        <v/>
      </c>
      <c r="C54" s="34">
        <f>IF(Tasks!$B54="","",Tasks!E54)</f>
        <v/>
      </c>
      <c r="D54" s="45">
        <f>IF(Tasks!$B54="","",Tasks!G54)</f>
        <v/>
      </c>
      <c r="E54" s="45">
        <f>IF(Tasks!$B54="","",Tasks!H54)</f>
        <v/>
      </c>
      <c r="F54" s="76" t="n"/>
      <c r="G54" s="76" t="n"/>
      <c r="H54" s="76" t="n"/>
      <c r="I54" s="76" t="n"/>
      <c r="J54" s="76" t="n"/>
      <c r="K54" s="76" t="n"/>
      <c r="L54" s="76" t="n"/>
      <c r="M54" s="76" t="n"/>
      <c r="N54" s="76" t="n"/>
      <c r="O54" s="76" t="n"/>
      <c r="P54" s="76" t="n"/>
      <c r="Q54" s="76" t="n"/>
      <c r="R54" s="76" t="n"/>
      <c r="S54" s="76" t="n"/>
      <c r="T54" s="76" t="n"/>
      <c r="U54" s="76" t="n"/>
      <c r="V54" s="76" t="n"/>
      <c r="W54" s="76" t="n"/>
      <c r="X54" s="76" t="n"/>
      <c r="Y54" s="76" t="n"/>
      <c r="Z54" s="76" t="n"/>
      <c r="AA54" s="76" t="n"/>
      <c r="AB54" s="76" t="n"/>
      <c r="AC54" s="76" t="n"/>
      <c r="AD54" s="76" t="n"/>
      <c r="AE54" s="76" t="n"/>
      <c r="AF54" s="76" t="n"/>
      <c r="AG54" s="76" t="n"/>
      <c r="AH54" s="76" t="n"/>
      <c r="AI54" s="76" t="n"/>
      <c r="AJ54" s="76" t="n"/>
      <c r="AK54" s="76" t="n"/>
      <c r="AL54" s="76" t="n"/>
      <c r="AM54" s="76" t="n"/>
      <c r="AN54" s="76" t="n"/>
      <c r="AO54" s="76" t="n"/>
      <c r="AP54" s="76" t="n"/>
      <c r="AQ54" s="76" t="n"/>
      <c r="AR54" s="76" t="n"/>
      <c r="AS54" s="76" t="n"/>
      <c r="AT54" s="76" t="n"/>
      <c r="AU54" s="76" t="n"/>
      <c r="AV54" s="76" t="n"/>
      <c r="AW54" s="76" t="n"/>
      <c r="AX54" s="76" t="n"/>
      <c r="AY54" s="76" t="n"/>
      <c r="AZ54" s="76" t="n"/>
      <c r="BA54" s="76" t="n"/>
      <c r="BB54" s="76" t="n"/>
      <c r="BC54" s="76" t="n"/>
      <c r="BD54" s="76" t="n"/>
      <c r="BE54" s="76" t="n"/>
      <c r="BF54" s="76" t="n"/>
      <c r="BG54" s="76" t="n"/>
      <c r="BH54" s="76" t="n"/>
      <c r="BI54" s="76" t="n"/>
      <c r="BJ54" s="76" t="n"/>
      <c r="BK54" s="76" t="n"/>
      <c r="BL54" s="76" t="n"/>
      <c r="BM54" s="76" t="n"/>
      <c r="BN54" s="76" t="n"/>
      <c r="BO54" s="76" t="n"/>
      <c r="BP54" s="76" t="n"/>
      <c r="BQ54" s="76" t="n"/>
      <c r="BR54" s="76" t="n"/>
      <c r="BS54" s="76" t="n"/>
      <c r="BT54" s="76" t="n"/>
      <c r="BU54" s="76" t="n"/>
      <c r="BV54" s="76" t="n"/>
      <c r="BW54" s="76" t="n"/>
      <c r="BX54" s="76" t="n"/>
      <c r="BY54" s="76" t="n"/>
      <c r="BZ54" s="76" t="n"/>
      <c r="CA54" s="76" t="n"/>
      <c r="CB54" s="76" t="n"/>
      <c r="CC54" s="76" t="n"/>
      <c r="CD54" s="76" t="n"/>
      <c r="CE54" s="76" t="n"/>
      <c r="CF54" s="76" t="n"/>
      <c r="CG54" s="76" t="n"/>
      <c r="CH54" s="76" t="n"/>
      <c r="CI54" s="76" t="n"/>
      <c r="CJ54" s="76" t="n"/>
      <c r="CK54" s="76" t="n"/>
    </row>
    <row r="55">
      <c r="A55" s="33">
        <f>IF(Tasks!$B55="","",Tasks!B55)</f>
        <v/>
      </c>
      <c r="B55" s="34">
        <f>IF(Tasks!$B55="","",Tasks!D55)</f>
        <v/>
      </c>
      <c r="C55" s="34">
        <f>IF(Tasks!$B55="","",Tasks!E55)</f>
        <v/>
      </c>
      <c r="D55" s="45">
        <f>IF(Tasks!$B55="","",Tasks!G55)</f>
        <v/>
      </c>
      <c r="E55" s="45">
        <f>IF(Tasks!$B55="","",Tasks!H55)</f>
        <v/>
      </c>
      <c r="F55" s="76" t="n"/>
      <c r="G55" s="76" t="n"/>
      <c r="H55" s="76" t="n"/>
      <c r="I55" s="76" t="n"/>
      <c r="J55" s="76" t="n"/>
      <c r="K55" s="76" t="n"/>
      <c r="L55" s="76" t="n"/>
      <c r="M55" s="76" t="n"/>
      <c r="N55" s="76" t="n"/>
      <c r="O55" s="76" t="n"/>
      <c r="P55" s="76" t="n"/>
      <c r="Q55" s="76" t="n"/>
      <c r="R55" s="76" t="n"/>
      <c r="S55" s="76" t="n"/>
      <c r="T55" s="76" t="n"/>
      <c r="U55" s="76" t="n"/>
      <c r="V55" s="76" t="n"/>
      <c r="W55" s="76" t="n"/>
      <c r="X55" s="76" t="n"/>
      <c r="Y55" s="76" t="n"/>
      <c r="Z55" s="76" t="n"/>
      <c r="AA55" s="76" t="n"/>
      <c r="AB55" s="76" t="n"/>
      <c r="AC55" s="76" t="n"/>
      <c r="AD55" s="76" t="n"/>
      <c r="AE55" s="76" t="n"/>
      <c r="AF55" s="76" t="n"/>
      <c r="AG55" s="76" t="n"/>
      <c r="AH55" s="76" t="n"/>
      <c r="AI55" s="76" t="n"/>
      <c r="AJ55" s="76" t="n"/>
      <c r="AK55" s="76" t="n"/>
      <c r="AL55" s="76" t="n"/>
      <c r="AM55" s="76" t="n"/>
      <c r="AN55" s="76" t="n"/>
      <c r="AO55" s="76" t="n"/>
      <c r="AP55" s="76" t="n"/>
      <c r="AQ55" s="76" t="n"/>
      <c r="AR55" s="76" t="n"/>
      <c r="AS55" s="76" t="n"/>
      <c r="AT55" s="76" t="n"/>
      <c r="AU55" s="76" t="n"/>
      <c r="AV55" s="76" t="n"/>
      <c r="AW55" s="76" t="n"/>
      <c r="AX55" s="76" t="n"/>
      <c r="AY55" s="76" t="n"/>
      <c r="AZ55" s="76" t="n"/>
      <c r="BA55" s="76" t="n"/>
      <c r="BB55" s="76" t="n"/>
      <c r="BC55" s="76" t="n"/>
      <c r="BD55" s="76" t="n"/>
      <c r="BE55" s="76" t="n"/>
      <c r="BF55" s="76" t="n"/>
      <c r="BG55" s="76" t="n"/>
      <c r="BH55" s="76" t="n"/>
      <c r="BI55" s="76" t="n"/>
      <c r="BJ55" s="76" t="n"/>
      <c r="BK55" s="76" t="n"/>
      <c r="BL55" s="76" t="n"/>
      <c r="BM55" s="76" t="n"/>
      <c r="BN55" s="76" t="n"/>
      <c r="BO55" s="76" t="n"/>
      <c r="BP55" s="76" t="n"/>
      <c r="BQ55" s="76" t="n"/>
      <c r="BR55" s="76" t="n"/>
      <c r="BS55" s="76" t="n"/>
      <c r="BT55" s="76" t="n"/>
      <c r="BU55" s="76" t="n"/>
      <c r="BV55" s="76" t="n"/>
      <c r="BW55" s="76" t="n"/>
      <c r="BX55" s="76" t="n"/>
      <c r="BY55" s="76" t="n"/>
      <c r="BZ55" s="76" t="n"/>
      <c r="CA55" s="76" t="n"/>
      <c r="CB55" s="76" t="n"/>
      <c r="CC55" s="76" t="n"/>
      <c r="CD55" s="76" t="n"/>
      <c r="CE55" s="76" t="n"/>
      <c r="CF55" s="76" t="n"/>
      <c r="CG55" s="76" t="n"/>
      <c r="CH55" s="76" t="n"/>
      <c r="CI55" s="76" t="n"/>
      <c r="CJ55" s="76" t="n"/>
      <c r="CK55" s="76" t="n"/>
    </row>
    <row r="56">
      <c r="A56" s="33">
        <f>IF(Tasks!$B56="","",Tasks!B56)</f>
        <v/>
      </c>
      <c r="B56" s="34">
        <f>IF(Tasks!$B56="","",Tasks!D56)</f>
        <v/>
      </c>
      <c r="C56" s="34">
        <f>IF(Tasks!$B56="","",Tasks!E56)</f>
        <v/>
      </c>
      <c r="D56" s="45">
        <f>IF(Tasks!$B56="","",Tasks!G56)</f>
        <v/>
      </c>
      <c r="E56" s="45">
        <f>IF(Tasks!$B56="","",Tasks!H56)</f>
        <v/>
      </c>
      <c r="F56" s="76" t="n"/>
      <c r="G56" s="76" t="n"/>
      <c r="H56" s="76" t="n"/>
      <c r="I56" s="76" t="n"/>
      <c r="J56" s="76" t="n"/>
      <c r="K56" s="76" t="n"/>
      <c r="L56" s="76" t="n"/>
      <c r="M56" s="76" t="n"/>
      <c r="N56" s="76" t="n"/>
      <c r="O56" s="76" t="n"/>
      <c r="P56" s="76" t="n"/>
      <c r="Q56" s="76" t="n"/>
      <c r="R56" s="76" t="n"/>
      <c r="S56" s="76" t="n"/>
      <c r="T56" s="76" t="n"/>
      <c r="U56" s="76" t="n"/>
      <c r="V56" s="76" t="n"/>
      <c r="W56" s="76" t="n"/>
      <c r="X56" s="76" t="n"/>
      <c r="Y56" s="76" t="n"/>
      <c r="Z56" s="76" t="n"/>
      <c r="AA56" s="76" t="n"/>
      <c r="AB56" s="76" t="n"/>
      <c r="AC56" s="76" t="n"/>
      <c r="AD56" s="76" t="n"/>
      <c r="AE56" s="76" t="n"/>
      <c r="AF56" s="76" t="n"/>
      <c r="AG56" s="76" t="n"/>
      <c r="AH56" s="76" t="n"/>
      <c r="AI56" s="76" t="n"/>
      <c r="AJ56" s="76" t="n"/>
      <c r="AK56" s="76" t="n"/>
      <c r="AL56" s="76" t="n"/>
      <c r="AM56" s="76" t="n"/>
      <c r="AN56" s="76" t="n"/>
      <c r="AO56" s="76" t="n"/>
      <c r="AP56" s="76" t="n"/>
      <c r="AQ56" s="76" t="n"/>
      <c r="AR56" s="76" t="n"/>
      <c r="AS56" s="76" t="n"/>
      <c r="AT56" s="76" t="n"/>
      <c r="AU56" s="76" t="n"/>
      <c r="AV56" s="76" t="n"/>
      <c r="AW56" s="76" t="n"/>
      <c r="AX56" s="76" t="n"/>
      <c r="AY56" s="76" t="n"/>
      <c r="AZ56" s="76" t="n"/>
      <c r="BA56" s="76" t="n"/>
      <c r="BB56" s="76" t="n"/>
      <c r="BC56" s="76" t="n"/>
      <c r="BD56" s="76" t="n"/>
      <c r="BE56" s="76" t="n"/>
      <c r="BF56" s="76" t="n"/>
      <c r="BG56" s="76" t="n"/>
      <c r="BH56" s="76" t="n"/>
      <c r="BI56" s="76" t="n"/>
      <c r="BJ56" s="76" t="n"/>
      <c r="BK56" s="76" t="n"/>
      <c r="BL56" s="76" t="n"/>
      <c r="BM56" s="76" t="n"/>
      <c r="BN56" s="76" t="n"/>
      <c r="BO56" s="76" t="n"/>
      <c r="BP56" s="76" t="n"/>
      <c r="BQ56" s="76" t="n"/>
      <c r="BR56" s="76" t="n"/>
      <c r="BS56" s="76" t="n"/>
      <c r="BT56" s="76" t="n"/>
      <c r="BU56" s="76" t="n"/>
      <c r="BV56" s="76" t="n"/>
      <c r="BW56" s="76" t="n"/>
      <c r="BX56" s="76" t="n"/>
      <c r="BY56" s="76" t="n"/>
      <c r="BZ56" s="76" t="n"/>
      <c r="CA56" s="76" t="n"/>
      <c r="CB56" s="76" t="n"/>
      <c r="CC56" s="76" t="n"/>
      <c r="CD56" s="76" t="n"/>
      <c r="CE56" s="76" t="n"/>
      <c r="CF56" s="76" t="n"/>
      <c r="CG56" s="76" t="n"/>
      <c r="CH56" s="76" t="n"/>
      <c r="CI56" s="76" t="n"/>
      <c r="CJ56" s="76" t="n"/>
      <c r="CK56" s="76" t="n"/>
    </row>
    <row r="57">
      <c r="A57" s="33">
        <f>IF(Tasks!$B57="","",Tasks!B57)</f>
        <v/>
      </c>
      <c r="B57" s="34">
        <f>IF(Tasks!$B57="","",Tasks!D57)</f>
        <v/>
      </c>
      <c r="C57" s="34">
        <f>IF(Tasks!$B57="","",Tasks!E57)</f>
        <v/>
      </c>
      <c r="D57" s="45">
        <f>IF(Tasks!$B57="","",Tasks!G57)</f>
        <v/>
      </c>
      <c r="E57" s="45">
        <f>IF(Tasks!$B57="","",Tasks!H57)</f>
        <v/>
      </c>
      <c r="F57" s="76" t="n"/>
      <c r="G57" s="76" t="n"/>
      <c r="H57" s="76" t="n"/>
      <c r="I57" s="76" t="n"/>
      <c r="J57" s="76" t="n"/>
      <c r="K57" s="76" t="n"/>
      <c r="L57" s="76" t="n"/>
      <c r="M57" s="76" t="n"/>
      <c r="N57" s="76" t="n"/>
      <c r="O57" s="76" t="n"/>
      <c r="P57" s="76" t="n"/>
      <c r="Q57" s="76" t="n"/>
      <c r="R57" s="76" t="n"/>
      <c r="S57" s="76" t="n"/>
      <c r="T57" s="76" t="n"/>
      <c r="U57" s="76" t="n"/>
      <c r="V57" s="76" t="n"/>
      <c r="W57" s="76" t="n"/>
      <c r="X57" s="76" t="n"/>
      <c r="Y57" s="76" t="n"/>
      <c r="Z57" s="76" t="n"/>
      <c r="AA57" s="76" t="n"/>
      <c r="AB57" s="76" t="n"/>
      <c r="AC57" s="76" t="n"/>
      <c r="AD57" s="76" t="n"/>
      <c r="AE57" s="76" t="n"/>
      <c r="AF57" s="76" t="n"/>
      <c r="AG57" s="76" t="n"/>
      <c r="AH57" s="76" t="n"/>
      <c r="AI57" s="76" t="n"/>
      <c r="AJ57" s="76" t="n"/>
      <c r="AK57" s="76" t="n"/>
      <c r="AL57" s="76" t="n"/>
      <c r="AM57" s="76" t="n"/>
      <c r="AN57" s="76" t="n"/>
      <c r="AO57" s="76" t="n"/>
      <c r="AP57" s="76" t="n"/>
      <c r="AQ57" s="76" t="n"/>
      <c r="AR57" s="76" t="n"/>
      <c r="AS57" s="76" t="n"/>
      <c r="AT57" s="76" t="n"/>
      <c r="AU57" s="76" t="n"/>
      <c r="AV57" s="76" t="n"/>
      <c r="AW57" s="76" t="n"/>
      <c r="AX57" s="76" t="n"/>
      <c r="AY57" s="76" t="n"/>
      <c r="AZ57" s="76" t="n"/>
      <c r="BA57" s="76" t="n"/>
      <c r="BB57" s="76" t="n"/>
      <c r="BC57" s="76" t="n"/>
      <c r="BD57" s="76" t="n"/>
      <c r="BE57" s="76" t="n"/>
      <c r="BF57" s="76" t="n"/>
      <c r="BG57" s="76" t="n"/>
      <c r="BH57" s="76" t="n"/>
      <c r="BI57" s="76" t="n"/>
      <c r="BJ57" s="76" t="n"/>
      <c r="BK57" s="76" t="n"/>
      <c r="BL57" s="76" t="n"/>
      <c r="BM57" s="76" t="n"/>
      <c r="BN57" s="76" t="n"/>
      <c r="BO57" s="76" t="n"/>
      <c r="BP57" s="76" t="n"/>
      <c r="BQ57" s="76" t="n"/>
      <c r="BR57" s="76" t="n"/>
      <c r="BS57" s="76" t="n"/>
      <c r="BT57" s="76" t="n"/>
      <c r="BU57" s="76" t="n"/>
      <c r="BV57" s="76" t="n"/>
      <c r="BW57" s="76" t="n"/>
      <c r="BX57" s="76" t="n"/>
      <c r="BY57" s="76" t="n"/>
      <c r="BZ57" s="76" t="n"/>
      <c r="CA57" s="76" t="n"/>
      <c r="CB57" s="76" t="n"/>
      <c r="CC57" s="76" t="n"/>
      <c r="CD57" s="76" t="n"/>
      <c r="CE57" s="76" t="n"/>
      <c r="CF57" s="76" t="n"/>
      <c r="CG57" s="76" t="n"/>
      <c r="CH57" s="76" t="n"/>
      <c r="CI57" s="76" t="n"/>
      <c r="CJ57" s="76" t="n"/>
      <c r="CK57" s="76" t="n"/>
    </row>
    <row r="58">
      <c r="A58" s="33">
        <f>IF(Tasks!$B58="","",Tasks!B58)</f>
        <v/>
      </c>
      <c r="B58" s="34">
        <f>IF(Tasks!$B58="","",Tasks!D58)</f>
        <v/>
      </c>
      <c r="C58" s="34">
        <f>IF(Tasks!$B58="","",Tasks!E58)</f>
        <v/>
      </c>
      <c r="D58" s="45">
        <f>IF(Tasks!$B58="","",Tasks!G58)</f>
        <v/>
      </c>
      <c r="E58" s="45">
        <f>IF(Tasks!$B58="","",Tasks!H58)</f>
        <v/>
      </c>
      <c r="F58" s="76" t="n"/>
      <c r="G58" s="76" t="n"/>
      <c r="H58" s="76" t="n"/>
      <c r="I58" s="76" t="n"/>
      <c r="J58" s="76" t="n"/>
      <c r="K58" s="76" t="n"/>
      <c r="L58" s="76" t="n"/>
      <c r="M58" s="76" t="n"/>
      <c r="N58" s="76" t="n"/>
      <c r="O58" s="76" t="n"/>
      <c r="P58" s="76" t="n"/>
      <c r="Q58" s="76" t="n"/>
      <c r="R58" s="76" t="n"/>
      <c r="S58" s="76" t="n"/>
      <c r="T58" s="76" t="n"/>
      <c r="U58" s="76" t="n"/>
      <c r="V58" s="76" t="n"/>
      <c r="W58" s="76" t="n"/>
      <c r="X58" s="76" t="n"/>
      <c r="Y58" s="76" t="n"/>
      <c r="Z58" s="76" t="n"/>
      <c r="AA58" s="76" t="n"/>
      <c r="AB58" s="76" t="n"/>
      <c r="AC58" s="76" t="n"/>
      <c r="AD58" s="76" t="n"/>
      <c r="AE58" s="76" t="n"/>
      <c r="AF58" s="76" t="n"/>
      <c r="AG58" s="76" t="n"/>
      <c r="AH58" s="76" t="n"/>
      <c r="AI58" s="76" t="n"/>
      <c r="AJ58" s="76" t="n"/>
      <c r="AK58" s="76" t="n"/>
      <c r="AL58" s="76" t="n"/>
      <c r="AM58" s="76" t="n"/>
      <c r="AN58" s="76" t="n"/>
      <c r="AO58" s="76" t="n"/>
      <c r="AP58" s="76" t="n"/>
      <c r="AQ58" s="76" t="n"/>
      <c r="AR58" s="76" t="n"/>
      <c r="AS58" s="76" t="n"/>
      <c r="AT58" s="76" t="n"/>
      <c r="AU58" s="76" t="n"/>
      <c r="AV58" s="76" t="n"/>
      <c r="AW58" s="76" t="n"/>
      <c r="AX58" s="76" t="n"/>
      <c r="AY58" s="76" t="n"/>
      <c r="AZ58" s="76" t="n"/>
      <c r="BA58" s="76" t="n"/>
      <c r="BB58" s="76" t="n"/>
      <c r="BC58" s="76" t="n"/>
      <c r="BD58" s="76" t="n"/>
      <c r="BE58" s="76" t="n"/>
      <c r="BF58" s="76" t="n"/>
      <c r="BG58" s="76" t="n"/>
      <c r="BH58" s="76" t="n"/>
      <c r="BI58" s="76" t="n"/>
      <c r="BJ58" s="76" t="n"/>
      <c r="BK58" s="76" t="n"/>
      <c r="BL58" s="76" t="n"/>
      <c r="BM58" s="76" t="n"/>
      <c r="BN58" s="76" t="n"/>
      <c r="BO58" s="76" t="n"/>
      <c r="BP58" s="76" t="n"/>
      <c r="BQ58" s="76" t="n"/>
      <c r="BR58" s="76" t="n"/>
      <c r="BS58" s="76" t="n"/>
      <c r="BT58" s="76" t="n"/>
      <c r="BU58" s="76" t="n"/>
      <c r="BV58" s="76" t="n"/>
      <c r="BW58" s="76" t="n"/>
      <c r="BX58" s="76" t="n"/>
      <c r="BY58" s="76" t="n"/>
      <c r="BZ58" s="76" t="n"/>
      <c r="CA58" s="76" t="n"/>
      <c r="CB58" s="76" t="n"/>
      <c r="CC58" s="76" t="n"/>
      <c r="CD58" s="76" t="n"/>
      <c r="CE58" s="76" t="n"/>
      <c r="CF58" s="76" t="n"/>
      <c r="CG58" s="76" t="n"/>
      <c r="CH58" s="76" t="n"/>
      <c r="CI58" s="76" t="n"/>
      <c r="CJ58" s="76" t="n"/>
      <c r="CK58" s="76" t="n"/>
    </row>
    <row r="59">
      <c r="A59" s="33">
        <f>IF(Tasks!$B59="","",Tasks!B59)</f>
        <v/>
      </c>
      <c r="B59" s="34">
        <f>IF(Tasks!$B59="","",Tasks!D59)</f>
        <v/>
      </c>
      <c r="C59" s="34">
        <f>IF(Tasks!$B59="","",Tasks!E59)</f>
        <v/>
      </c>
      <c r="D59" s="45">
        <f>IF(Tasks!$B59="","",Tasks!G59)</f>
        <v/>
      </c>
      <c r="E59" s="45">
        <f>IF(Tasks!$B59="","",Tasks!H59)</f>
        <v/>
      </c>
      <c r="F59" s="76" t="n"/>
      <c r="G59" s="76" t="n"/>
      <c r="H59" s="76" t="n"/>
      <c r="I59" s="76" t="n"/>
      <c r="J59" s="76" t="n"/>
      <c r="K59" s="76" t="n"/>
      <c r="L59" s="76" t="n"/>
      <c r="M59" s="76" t="n"/>
      <c r="N59" s="76" t="n"/>
      <c r="O59" s="76" t="n"/>
      <c r="P59" s="76" t="n"/>
      <c r="Q59" s="76" t="n"/>
      <c r="R59" s="76" t="n"/>
      <c r="S59" s="76" t="n"/>
      <c r="T59" s="76" t="n"/>
      <c r="U59" s="76" t="n"/>
      <c r="V59" s="76" t="n"/>
      <c r="W59" s="76" t="n"/>
      <c r="X59" s="76" t="n"/>
      <c r="Y59" s="76" t="n"/>
      <c r="Z59" s="76" t="n"/>
      <c r="AA59" s="76" t="n"/>
      <c r="AB59" s="76" t="n"/>
      <c r="AC59" s="76" t="n"/>
      <c r="AD59" s="76" t="n"/>
      <c r="AE59" s="76" t="n"/>
      <c r="AF59" s="76" t="n"/>
      <c r="AG59" s="76" t="n"/>
      <c r="AH59" s="76" t="n"/>
      <c r="AI59" s="76" t="n"/>
      <c r="AJ59" s="76" t="n"/>
      <c r="AK59" s="76" t="n"/>
      <c r="AL59" s="76" t="n"/>
      <c r="AM59" s="76" t="n"/>
      <c r="AN59" s="76" t="n"/>
      <c r="AO59" s="76" t="n"/>
      <c r="AP59" s="76" t="n"/>
      <c r="AQ59" s="76" t="n"/>
      <c r="AR59" s="76" t="n"/>
      <c r="AS59" s="76" t="n"/>
      <c r="AT59" s="76" t="n"/>
      <c r="AU59" s="76" t="n"/>
      <c r="AV59" s="76" t="n"/>
      <c r="AW59" s="76" t="n"/>
      <c r="AX59" s="76" t="n"/>
      <c r="AY59" s="76" t="n"/>
      <c r="AZ59" s="76" t="n"/>
      <c r="BA59" s="76" t="n"/>
      <c r="BB59" s="76" t="n"/>
      <c r="BC59" s="76" t="n"/>
      <c r="BD59" s="76" t="n"/>
      <c r="BE59" s="76" t="n"/>
      <c r="BF59" s="76" t="n"/>
      <c r="BG59" s="76" t="n"/>
      <c r="BH59" s="76" t="n"/>
      <c r="BI59" s="76" t="n"/>
      <c r="BJ59" s="76" t="n"/>
      <c r="BK59" s="76" t="n"/>
      <c r="BL59" s="76" t="n"/>
      <c r="BM59" s="76" t="n"/>
      <c r="BN59" s="76" t="n"/>
      <c r="BO59" s="76" t="n"/>
      <c r="BP59" s="76" t="n"/>
      <c r="BQ59" s="76" t="n"/>
      <c r="BR59" s="76" t="n"/>
      <c r="BS59" s="76" t="n"/>
      <c r="BT59" s="76" t="n"/>
      <c r="BU59" s="76" t="n"/>
      <c r="BV59" s="76" t="n"/>
      <c r="BW59" s="76" t="n"/>
      <c r="BX59" s="76" t="n"/>
      <c r="BY59" s="76" t="n"/>
      <c r="BZ59" s="76" t="n"/>
      <c r="CA59" s="76" t="n"/>
      <c r="CB59" s="76" t="n"/>
      <c r="CC59" s="76" t="n"/>
      <c r="CD59" s="76" t="n"/>
      <c r="CE59" s="76" t="n"/>
      <c r="CF59" s="76" t="n"/>
      <c r="CG59" s="76" t="n"/>
      <c r="CH59" s="76" t="n"/>
      <c r="CI59" s="76" t="n"/>
      <c r="CJ59" s="76" t="n"/>
      <c r="CK59" s="76" t="n"/>
    </row>
    <row r="60">
      <c r="A60" s="33">
        <f>IF(Tasks!$B60="","",Tasks!B60)</f>
        <v/>
      </c>
      <c r="B60" s="34">
        <f>IF(Tasks!$B60="","",Tasks!D60)</f>
        <v/>
      </c>
      <c r="C60" s="34">
        <f>IF(Tasks!$B60="","",Tasks!E60)</f>
        <v/>
      </c>
      <c r="D60" s="45">
        <f>IF(Tasks!$B60="","",Tasks!G60)</f>
        <v/>
      </c>
      <c r="E60" s="45">
        <f>IF(Tasks!$B60="","",Tasks!H60)</f>
        <v/>
      </c>
      <c r="F60" s="76" t="n"/>
      <c r="G60" s="76" t="n"/>
      <c r="H60" s="76" t="n"/>
      <c r="I60" s="76" t="n"/>
      <c r="J60" s="76" t="n"/>
      <c r="K60" s="76" t="n"/>
      <c r="L60" s="76" t="n"/>
      <c r="M60" s="76" t="n"/>
      <c r="N60" s="76" t="n"/>
      <c r="O60" s="76" t="n"/>
      <c r="P60" s="76" t="n"/>
      <c r="Q60" s="76" t="n"/>
      <c r="R60" s="76" t="n"/>
      <c r="S60" s="76" t="n"/>
      <c r="T60" s="76" t="n"/>
      <c r="U60" s="76" t="n"/>
      <c r="V60" s="76" t="n"/>
      <c r="W60" s="76" t="n"/>
      <c r="X60" s="76" t="n"/>
      <c r="Y60" s="76" t="n"/>
      <c r="Z60" s="76" t="n"/>
      <c r="AA60" s="76" t="n"/>
      <c r="AB60" s="76" t="n"/>
      <c r="AC60" s="76" t="n"/>
      <c r="AD60" s="76" t="n"/>
      <c r="AE60" s="76" t="n"/>
      <c r="AF60" s="76" t="n"/>
      <c r="AG60" s="76" t="n"/>
      <c r="AH60" s="76" t="n"/>
      <c r="AI60" s="76" t="n"/>
      <c r="AJ60" s="76" t="n"/>
      <c r="AK60" s="76" t="n"/>
      <c r="AL60" s="76" t="n"/>
      <c r="AM60" s="76" t="n"/>
      <c r="AN60" s="76" t="n"/>
      <c r="AO60" s="76" t="n"/>
      <c r="AP60" s="76" t="n"/>
      <c r="AQ60" s="76" t="n"/>
      <c r="AR60" s="76" t="n"/>
      <c r="AS60" s="76" t="n"/>
      <c r="AT60" s="76" t="n"/>
      <c r="AU60" s="76" t="n"/>
      <c r="AV60" s="76" t="n"/>
      <c r="AW60" s="76" t="n"/>
      <c r="AX60" s="76" t="n"/>
      <c r="AY60" s="76" t="n"/>
      <c r="AZ60" s="76" t="n"/>
      <c r="BA60" s="76" t="n"/>
      <c r="BB60" s="76" t="n"/>
      <c r="BC60" s="76" t="n"/>
      <c r="BD60" s="76" t="n"/>
      <c r="BE60" s="76" t="n"/>
      <c r="BF60" s="76" t="n"/>
      <c r="BG60" s="76" t="n"/>
      <c r="BH60" s="76" t="n"/>
      <c r="BI60" s="76" t="n"/>
      <c r="BJ60" s="76" t="n"/>
      <c r="BK60" s="76" t="n"/>
      <c r="BL60" s="76" t="n"/>
      <c r="BM60" s="76" t="n"/>
      <c r="BN60" s="76" t="n"/>
      <c r="BO60" s="76" t="n"/>
      <c r="BP60" s="76" t="n"/>
      <c r="BQ60" s="76" t="n"/>
      <c r="BR60" s="76" t="n"/>
      <c r="BS60" s="76" t="n"/>
      <c r="BT60" s="76" t="n"/>
      <c r="BU60" s="76" t="n"/>
      <c r="BV60" s="76" t="n"/>
      <c r="BW60" s="76" t="n"/>
      <c r="BX60" s="76" t="n"/>
      <c r="BY60" s="76" t="n"/>
      <c r="BZ60" s="76" t="n"/>
      <c r="CA60" s="76" t="n"/>
      <c r="CB60" s="76" t="n"/>
      <c r="CC60" s="76" t="n"/>
      <c r="CD60" s="76" t="n"/>
      <c r="CE60" s="76" t="n"/>
      <c r="CF60" s="76" t="n"/>
      <c r="CG60" s="76" t="n"/>
      <c r="CH60" s="76" t="n"/>
      <c r="CI60" s="76" t="n"/>
      <c r="CJ60" s="76" t="n"/>
      <c r="CK60" s="76" t="n"/>
    </row>
    <row r="61">
      <c r="A61" s="33">
        <f>IF(Tasks!$B61="","",Tasks!B61)</f>
        <v/>
      </c>
      <c r="B61" s="34">
        <f>IF(Tasks!$B61="","",Tasks!D61)</f>
        <v/>
      </c>
      <c r="C61" s="34">
        <f>IF(Tasks!$B61="","",Tasks!E61)</f>
        <v/>
      </c>
      <c r="D61" s="45">
        <f>IF(Tasks!$B61="","",Tasks!G61)</f>
        <v/>
      </c>
      <c r="E61" s="45">
        <f>IF(Tasks!$B61="","",Tasks!H61)</f>
        <v/>
      </c>
      <c r="F61" s="76" t="n"/>
      <c r="G61" s="76" t="n"/>
      <c r="H61" s="76" t="n"/>
      <c r="I61" s="76" t="n"/>
      <c r="J61" s="76" t="n"/>
      <c r="K61" s="76" t="n"/>
      <c r="L61" s="76" t="n"/>
      <c r="M61" s="76" t="n"/>
      <c r="N61" s="76" t="n"/>
      <c r="O61" s="76" t="n"/>
      <c r="P61" s="76" t="n"/>
      <c r="Q61" s="76" t="n"/>
      <c r="R61" s="76" t="n"/>
      <c r="S61" s="76" t="n"/>
      <c r="T61" s="76" t="n"/>
      <c r="U61" s="76" t="n"/>
      <c r="V61" s="76" t="n"/>
      <c r="W61" s="76" t="n"/>
      <c r="X61" s="76" t="n"/>
      <c r="Y61" s="76" t="n"/>
      <c r="Z61" s="76" t="n"/>
      <c r="AA61" s="76" t="n"/>
      <c r="AB61" s="76" t="n"/>
      <c r="AC61" s="76" t="n"/>
      <c r="AD61" s="76" t="n"/>
      <c r="AE61" s="76" t="n"/>
      <c r="AF61" s="76" t="n"/>
      <c r="AG61" s="76" t="n"/>
      <c r="AH61" s="76" t="n"/>
      <c r="AI61" s="76" t="n"/>
      <c r="AJ61" s="76" t="n"/>
      <c r="AK61" s="76" t="n"/>
      <c r="AL61" s="76" t="n"/>
      <c r="AM61" s="76" t="n"/>
      <c r="AN61" s="76" t="n"/>
      <c r="AO61" s="76" t="n"/>
      <c r="AP61" s="76" t="n"/>
      <c r="AQ61" s="76" t="n"/>
      <c r="AR61" s="76" t="n"/>
      <c r="AS61" s="76" t="n"/>
      <c r="AT61" s="76" t="n"/>
      <c r="AU61" s="76" t="n"/>
      <c r="AV61" s="76" t="n"/>
      <c r="AW61" s="76" t="n"/>
      <c r="AX61" s="76" t="n"/>
      <c r="AY61" s="76" t="n"/>
      <c r="AZ61" s="76" t="n"/>
      <c r="BA61" s="76" t="n"/>
      <c r="BB61" s="76" t="n"/>
      <c r="BC61" s="76" t="n"/>
      <c r="BD61" s="76" t="n"/>
      <c r="BE61" s="76" t="n"/>
      <c r="BF61" s="76" t="n"/>
      <c r="BG61" s="76" t="n"/>
      <c r="BH61" s="76" t="n"/>
      <c r="BI61" s="76" t="n"/>
      <c r="BJ61" s="76" t="n"/>
      <c r="BK61" s="76" t="n"/>
      <c r="BL61" s="76" t="n"/>
      <c r="BM61" s="76" t="n"/>
      <c r="BN61" s="76" t="n"/>
      <c r="BO61" s="76" t="n"/>
      <c r="BP61" s="76" t="n"/>
      <c r="BQ61" s="76" t="n"/>
      <c r="BR61" s="76" t="n"/>
      <c r="BS61" s="76" t="n"/>
      <c r="BT61" s="76" t="n"/>
      <c r="BU61" s="76" t="n"/>
      <c r="BV61" s="76" t="n"/>
      <c r="BW61" s="76" t="n"/>
      <c r="BX61" s="76" t="n"/>
      <c r="BY61" s="76" t="n"/>
      <c r="BZ61" s="76" t="n"/>
      <c r="CA61" s="76" t="n"/>
      <c r="CB61" s="76" t="n"/>
      <c r="CC61" s="76" t="n"/>
      <c r="CD61" s="76" t="n"/>
      <c r="CE61" s="76" t="n"/>
      <c r="CF61" s="76" t="n"/>
      <c r="CG61" s="76" t="n"/>
      <c r="CH61" s="76" t="n"/>
      <c r="CI61" s="76" t="n"/>
      <c r="CJ61" s="76" t="n"/>
      <c r="CK61" s="76" t="n"/>
    </row>
    <row r="62">
      <c r="A62" s="33">
        <f>IF(Tasks!$B62="","",Tasks!B62)</f>
        <v/>
      </c>
      <c r="B62" s="34">
        <f>IF(Tasks!$B62="","",Tasks!D62)</f>
        <v/>
      </c>
      <c r="C62" s="34">
        <f>IF(Tasks!$B62="","",Tasks!E62)</f>
        <v/>
      </c>
      <c r="D62" s="45">
        <f>IF(Tasks!$B62="","",Tasks!G62)</f>
        <v/>
      </c>
      <c r="E62" s="45">
        <f>IF(Tasks!$B62="","",Tasks!H62)</f>
        <v/>
      </c>
      <c r="F62" s="76" t="n"/>
      <c r="G62" s="76" t="n"/>
      <c r="H62" s="76" t="n"/>
      <c r="I62" s="76" t="n"/>
      <c r="J62" s="76" t="n"/>
      <c r="K62" s="76" t="n"/>
      <c r="L62" s="76" t="n"/>
      <c r="M62" s="76" t="n"/>
      <c r="N62" s="76" t="n"/>
      <c r="O62" s="76" t="n"/>
      <c r="P62" s="76" t="n"/>
      <c r="Q62" s="76" t="n"/>
      <c r="R62" s="76" t="n"/>
      <c r="S62" s="76" t="n"/>
      <c r="T62" s="76" t="n"/>
      <c r="U62" s="76" t="n"/>
      <c r="V62" s="76" t="n"/>
      <c r="W62" s="76" t="n"/>
      <c r="X62" s="76" t="n"/>
      <c r="Y62" s="76" t="n"/>
      <c r="Z62" s="76" t="n"/>
      <c r="AA62" s="76" t="n"/>
      <c r="AB62" s="76" t="n"/>
      <c r="AC62" s="76" t="n"/>
      <c r="AD62" s="76" t="n"/>
      <c r="AE62" s="76" t="n"/>
      <c r="AF62" s="76" t="n"/>
      <c r="AG62" s="76" t="n"/>
      <c r="AH62" s="76" t="n"/>
      <c r="AI62" s="76" t="n"/>
      <c r="AJ62" s="76" t="n"/>
      <c r="AK62" s="76" t="n"/>
      <c r="AL62" s="76" t="n"/>
      <c r="AM62" s="76" t="n"/>
      <c r="AN62" s="76" t="n"/>
      <c r="AO62" s="76" t="n"/>
      <c r="AP62" s="76" t="n"/>
      <c r="AQ62" s="76" t="n"/>
      <c r="AR62" s="76" t="n"/>
      <c r="AS62" s="76" t="n"/>
      <c r="AT62" s="76" t="n"/>
      <c r="AU62" s="76" t="n"/>
      <c r="AV62" s="76" t="n"/>
      <c r="AW62" s="76" t="n"/>
      <c r="AX62" s="76" t="n"/>
      <c r="AY62" s="76" t="n"/>
      <c r="AZ62" s="76" t="n"/>
      <c r="BA62" s="76" t="n"/>
      <c r="BB62" s="76" t="n"/>
      <c r="BC62" s="76" t="n"/>
      <c r="BD62" s="76" t="n"/>
      <c r="BE62" s="76" t="n"/>
      <c r="BF62" s="76" t="n"/>
      <c r="BG62" s="76" t="n"/>
      <c r="BH62" s="76" t="n"/>
      <c r="BI62" s="76" t="n"/>
      <c r="BJ62" s="76" t="n"/>
      <c r="BK62" s="76" t="n"/>
      <c r="BL62" s="76" t="n"/>
      <c r="BM62" s="76" t="n"/>
      <c r="BN62" s="76" t="n"/>
      <c r="BO62" s="76" t="n"/>
      <c r="BP62" s="76" t="n"/>
      <c r="BQ62" s="76" t="n"/>
      <c r="BR62" s="76" t="n"/>
      <c r="BS62" s="76" t="n"/>
      <c r="BT62" s="76" t="n"/>
      <c r="BU62" s="76" t="n"/>
      <c r="BV62" s="76" t="n"/>
      <c r="BW62" s="76" t="n"/>
      <c r="BX62" s="76" t="n"/>
      <c r="BY62" s="76" t="n"/>
      <c r="BZ62" s="76" t="n"/>
      <c r="CA62" s="76" t="n"/>
      <c r="CB62" s="76" t="n"/>
      <c r="CC62" s="76" t="n"/>
      <c r="CD62" s="76" t="n"/>
      <c r="CE62" s="76" t="n"/>
      <c r="CF62" s="76" t="n"/>
      <c r="CG62" s="76" t="n"/>
      <c r="CH62" s="76" t="n"/>
      <c r="CI62" s="76" t="n"/>
      <c r="CJ62" s="76" t="n"/>
      <c r="CK62" s="76" t="n"/>
    </row>
    <row r="63">
      <c r="A63" s="33">
        <f>IF(Tasks!$B63="","",Tasks!B63)</f>
        <v/>
      </c>
      <c r="B63" s="34">
        <f>IF(Tasks!$B63="","",Tasks!D63)</f>
        <v/>
      </c>
      <c r="C63" s="34">
        <f>IF(Tasks!$B63="","",Tasks!E63)</f>
        <v/>
      </c>
      <c r="D63" s="45">
        <f>IF(Tasks!$B63="","",Tasks!G63)</f>
        <v/>
      </c>
      <c r="E63" s="45">
        <f>IF(Tasks!$B63="","",Tasks!H63)</f>
        <v/>
      </c>
      <c r="F63" s="76" t="n"/>
      <c r="G63" s="76" t="n"/>
      <c r="H63" s="76" t="n"/>
      <c r="I63" s="76" t="n"/>
      <c r="J63" s="76" t="n"/>
      <c r="K63" s="76" t="n"/>
      <c r="L63" s="76" t="n"/>
      <c r="M63" s="76" t="n"/>
      <c r="N63" s="76" t="n"/>
      <c r="O63" s="76" t="n"/>
      <c r="P63" s="76" t="n"/>
      <c r="Q63" s="76" t="n"/>
      <c r="R63" s="76" t="n"/>
      <c r="S63" s="76" t="n"/>
      <c r="T63" s="76" t="n"/>
      <c r="U63" s="76" t="n"/>
      <c r="V63" s="76" t="n"/>
      <c r="W63" s="76" t="n"/>
      <c r="X63" s="76" t="n"/>
      <c r="Y63" s="76" t="n"/>
      <c r="Z63" s="76" t="n"/>
      <c r="AA63" s="76" t="n"/>
      <c r="AB63" s="76" t="n"/>
      <c r="AC63" s="76" t="n"/>
      <c r="AD63" s="76" t="n"/>
      <c r="AE63" s="76" t="n"/>
      <c r="AF63" s="76" t="n"/>
      <c r="AG63" s="76" t="n"/>
      <c r="AH63" s="76" t="n"/>
      <c r="AI63" s="76" t="n"/>
      <c r="AJ63" s="76" t="n"/>
      <c r="AK63" s="76" t="n"/>
      <c r="AL63" s="76" t="n"/>
      <c r="AM63" s="76" t="n"/>
      <c r="AN63" s="76" t="n"/>
      <c r="AO63" s="76" t="n"/>
      <c r="AP63" s="76" t="n"/>
      <c r="AQ63" s="76" t="n"/>
      <c r="AR63" s="76" t="n"/>
      <c r="AS63" s="76" t="n"/>
      <c r="AT63" s="76" t="n"/>
      <c r="AU63" s="76" t="n"/>
      <c r="AV63" s="76" t="n"/>
      <c r="AW63" s="76" t="n"/>
      <c r="AX63" s="76" t="n"/>
      <c r="AY63" s="76" t="n"/>
      <c r="AZ63" s="76" t="n"/>
      <c r="BA63" s="76" t="n"/>
      <c r="BB63" s="76" t="n"/>
      <c r="BC63" s="76" t="n"/>
      <c r="BD63" s="76" t="n"/>
      <c r="BE63" s="76" t="n"/>
      <c r="BF63" s="76" t="n"/>
      <c r="BG63" s="76" t="n"/>
      <c r="BH63" s="76" t="n"/>
      <c r="BI63" s="76" t="n"/>
      <c r="BJ63" s="76" t="n"/>
      <c r="BK63" s="76" t="n"/>
      <c r="BL63" s="76" t="n"/>
      <c r="BM63" s="76" t="n"/>
      <c r="BN63" s="76" t="n"/>
      <c r="BO63" s="76" t="n"/>
      <c r="BP63" s="76" t="n"/>
      <c r="BQ63" s="76" t="n"/>
      <c r="BR63" s="76" t="n"/>
      <c r="BS63" s="76" t="n"/>
      <c r="BT63" s="76" t="n"/>
      <c r="BU63" s="76" t="n"/>
      <c r="BV63" s="76" t="n"/>
      <c r="BW63" s="76" t="n"/>
      <c r="BX63" s="76" t="n"/>
      <c r="BY63" s="76" t="n"/>
      <c r="BZ63" s="76" t="n"/>
      <c r="CA63" s="76" t="n"/>
      <c r="CB63" s="76" t="n"/>
      <c r="CC63" s="76" t="n"/>
      <c r="CD63" s="76" t="n"/>
      <c r="CE63" s="76" t="n"/>
      <c r="CF63" s="76" t="n"/>
      <c r="CG63" s="76" t="n"/>
      <c r="CH63" s="76" t="n"/>
      <c r="CI63" s="76" t="n"/>
      <c r="CJ63" s="76" t="n"/>
      <c r="CK63" s="76" t="n"/>
    </row>
    <row r="64">
      <c r="A64" s="33">
        <f>IF(Tasks!$B64="","",Tasks!B64)</f>
        <v/>
      </c>
      <c r="B64" s="34">
        <f>IF(Tasks!$B64="","",Tasks!D64)</f>
        <v/>
      </c>
      <c r="C64" s="34">
        <f>IF(Tasks!$B64="","",Tasks!E64)</f>
        <v/>
      </c>
      <c r="D64" s="45">
        <f>IF(Tasks!$B64="","",Tasks!G64)</f>
        <v/>
      </c>
      <c r="E64" s="45">
        <f>IF(Tasks!$B64="","",Tasks!H64)</f>
        <v/>
      </c>
      <c r="F64" s="76" t="n"/>
      <c r="G64" s="76" t="n"/>
      <c r="H64" s="76" t="n"/>
      <c r="I64" s="76" t="n"/>
      <c r="J64" s="76" t="n"/>
      <c r="K64" s="76" t="n"/>
      <c r="L64" s="76" t="n"/>
      <c r="M64" s="76" t="n"/>
      <c r="N64" s="76" t="n"/>
      <c r="O64" s="76" t="n"/>
      <c r="P64" s="76" t="n"/>
      <c r="Q64" s="76" t="n"/>
      <c r="R64" s="76" t="n"/>
      <c r="S64" s="76" t="n"/>
      <c r="T64" s="76" t="n"/>
      <c r="U64" s="76" t="n"/>
      <c r="V64" s="76" t="n"/>
      <c r="W64" s="76" t="n"/>
      <c r="X64" s="76" t="n"/>
      <c r="Y64" s="76" t="n"/>
      <c r="Z64" s="76" t="n"/>
      <c r="AA64" s="76" t="n"/>
      <c r="AB64" s="76" t="n"/>
      <c r="AC64" s="76" t="n"/>
      <c r="AD64" s="76" t="n"/>
      <c r="AE64" s="76" t="n"/>
      <c r="AF64" s="76" t="n"/>
      <c r="AG64" s="76" t="n"/>
      <c r="AH64" s="76" t="n"/>
      <c r="AI64" s="76" t="n"/>
      <c r="AJ64" s="76" t="n"/>
      <c r="AK64" s="76" t="n"/>
      <c r="AL64" s="76" t="n"/>
      <c r="AM64" s="76" t="n"/>
      <c r="AN64" s="76" t="n"/>
      <c r="AO64" s="76" t="n"/>
      <c r="AP64" s="76" t="n"/>
      <c r="AQ64" s="76" t="n"/>
      <c r="AR64" s="76" t="n"/>
      <c r="AS64" s="76" t="n"/>
      <c r="AT64" s="76" t="n"/>
      <c r="AU64" s="76" t="n"/>
      <c r="AV64" s="76" t="n"/>
      <c r="AW64" s="76" t="n"/>
      <c r="AX64" s="76" t="n"/>
      <c r="AY64" s="76" t="n"/>
      <c r="AZ64" s="76" t="n"/>
      <c r="BA64" s="76" t="n"/>
      <c r="BB64" s="76" t="n"/>
      <c r="BC64" s="76" t="n"/>
      <c r="BD64" s="76" t="n"/>
      <c r="BE64" s="76" t="n"/>
      <c r="BF64" s="76" t="n"/>
      <c r="BG64" s="76" t="n"/>
      <c r="BH64" s="76" t="n"/>
      <c r="BI64" s="76" t="n"/>
      <c r="BJ64" s="76" t="n"/>
      <c r="BK64" s="76" t="n"/>
      <c r="BL64" s="76" t="n"/>
      <c r="BM64" s="76" t="n"/>
      <c r="BN64" s="76" t="n"/>
      <c r="BO64" s="76" t="n"/>
      <c r="BP64" s="76" t="n"/>
      <c r="BQ64" s="76" t="n"/>
      <c r="BR64" s="76" t="n"/>
      <c r="BS64" s="76" t="n"/>
      <c r="BT64" s="76" t="n"/>
      <c r="BU64" s="76" t="n"/>
      <c r="BV64" s="76" t="n"/>
      <c r="BW64" s="76" t="n"/>
      <c r="BX64" s="76" t="n"/>
      <c r="BY64" s="76" t="n"/>
      <c r="BZ64" s="76" t="n"/>
      <c r="CA64" s="76" t="n"/>
      <c r="CB64" s="76" t="n"/>
      <c r="CC64" s="76" t="n"/>
      <c r="CD64" s="76" t="n"/>
      <c r="CE64" s="76" t="n"/>
      <c r="CF64" s="76" t="n"/>
      <c r="CG64" s="76" t="n"/>
      <c r="CH64" s="76" t="n"/>
      <c r="CI64" s="76" t="n"/>
      <c r="CJ64" s="76" t="n"/>
      <c r="CK64" s="76" t="n"/>
    </row>
    <row r="65">
      <c r="A65" s="33">
        <f>IF(Tasks!$B65="","",Tasks!B65)</f>
        <v/>
      </c>
      <c r="B65" s="34">
        <f>IF(Tasks!$B65="","",Tasks!D65)</f>
        <v/>
      </c>
      <c r="C65" s="34">
        <f>IF(Tasks!$B65="","",Tasks!E65)</f>
        <v/>
      </c>
      <c r="D65" s="45">
        <f>IF(Tasks!$B65="","",Tasks!G65)</f>
        <v/>
      </c>
      <c r="E65" s="45">
        <f>IF(Tasks!$B65="","",Tasks!H65)</f>
        <v/>
      </c>
      <c r="F65" s="76" t="n"/>
      <c r="G65" s="76" t="n"/>
      <c r="H65" s="76" t="n"/>
      <c r="I65" s="76" t="n"/>
      <c r="J65" s="76" t="n"/>
      <c r="K65" s="76" t="n"/>
      <c r="L65" s="76" t="n"/>
      <c r="M65" s="76" t="n"/>
      <c r="N65" s="76" t="n"/>
      <c r="O65" s="76" t="n"/>
      <c r="P65" s="76" t="n"/>
      <c r="Q65" s="76" t="n"/>
      <c r="R65" s="76" t="n"/>
      <c r="S65" s="76" t="n"/>
      <c r="T65" s="76" t="n"/>
      <c r="U65" s="76" t="n"/>
      <c r="V65" s="76" t="n"/>
      <c r="W65" s="76" t="n"/>
      <c r="X65" s="76" t="n"/>
      <c r="Y65" s="76" t="n"/>
      <c r="Z65" s="76" t="n"/>
      <c r="AA65" s="76" t="n"/>
      <c r="AB65" s="76" t="n"/>
      <c r="AC65" s="76" t="n"/>
      <c r="AD65" s="76" t="n"/>
      <c r="AE65" s="76" t="n"/>
      <c r="AF65" s="76" t="n"/>
      <c r="AG65" s="76" t="n"/>
      <c r="AH65" s="76" t="n"/>
      <c r="AI65" s="76" t="n"/>
      <c r="AJ65" s="76" t="n"/>
      <c r="AK65" s="76" t="n"/>
      <c r="AL65" s="76" t="n"/>
      <c r="AM65" s="76" t="n"/>
      <c r="AN65" s="76" t="n"/>
      <c r="AO65" s="76" t="n"/>
      <c r="AP65" s="76" t="n"/>
      <c r="AQ65" s="76" t="n"/>
      <c r="AR65" s="76" t="n"/>
      <c r="AS65" s="76" t="n"/>
      <c r="AT65" s="76" t="n"/>
      <c r="AU65" s="76" t="n"/>
      <c r="AV65" s="76" t="n"/>
      <c r="AW65" s="76" t="n"/>
      <c r="AX65" s="76" t="n"/>
      <c r="AY65" s="76" t="n"/>
      <c r="AZ65" s="76" t="n"/>
      <c r="BA65" s="76" t="n"/>
      <c r="BB65" s="76" t="n"/>
      <c r="BC65" s="76" t="n"/>
      <c r="BD65" s="76" t="n"/>
      <c r="BE65" s="76" t="n"/>
      <c r="BF65" s="76" t="n"/>
      <c r="BG65" s="76" t="n"/>
      <c r="BH65" s="76" t="n"/>
      <c r="BI65" s="76" t="n"/>
      <c r="BJ65" s="76" t="n"/>
      <c r="BK65" s="76" t="n"/>
      <c r="BL65" s="76" t="n"/>
      <c r="BM65" s="76" t="n"/>
      <c r="BN65" s="76" t="n"/>
      <c r="BO65" s="76" t="n"/>
      <c r="BP65" s="76" t="n"/>
      <c r="BQ65" s="76" t="n"/>
      <c r="BR65" s="76" t="n"/>
      <c r="BS65" s="76" t="n"/>
      <c r="BT65" s="76" t="n"/>
      <c r="BU65" s="76" t="n"/>
      <c r="BV65" s="76" t="n"/>
      <c r="BW65" s="76" t="n"/>
      <c r="BX65" s="76" t="n"/>
      <c r="BY65" s="76" t="n"/>
      <c r="BZ65" s="76" t="n"/>
      <c r="CA65" s="76" t="n"/>
      <c r="CB65" s="76" t="n"/>
      <c r="CC65" s="76" t="n"/>
      <c r="CD65" s="76" t="n"/>
      <c r="CE65" s="76" t="n"/>
      <c r="CF65" s="76" t="n"/>
      <c r="CG65" s="76" t="n"/>
      <c r="CH65" s="76" t="n"/>
      <c r="CI65" s="76" t="n"/>
      <c r="CJ65" s="76" t="n"/>
      <c r="CK65" s="76" t="n"/>
    </row>
    <row r="66">
      <c r="A66" s="33">
        <f>IF(Tasks!$B66="","",Tasks!B66)</f>
        <v/>
      </c>
      <c r="B66" s="34">
        <f>IF(Tasks!$B66="","",Tasks!D66)</f>
        <v/>
      </c>
      <c r="C66" s="34">
        <f>IF(Tasks!$B66="","",Tasks!E66)</f>
        <v/>
      </c>
      <c r="D66" s="45">
        <f>IF(Tasks!$B66="","",Tasks!G66)</f>
        <v/>
      </c>
      <c r="E66" s="45">
        <f>IF(Tasks!$B66="","",Tasks!H66)</f>
        <v/>
      </c>
      <c r="F66" s="76" t="n"/>
      <c r="G66" s="76" t="n"/>
      <c r="H66" s="76" t="n"/>
      <c r="I66" s="76" t="n"/>
      <c r="J66" s="76" t="n"/>
      <c r="K66" s="76" t="n"/>
      <c r="L66" s="76" t="n"/>
      <c r="M66" s="76" t="n"/>
      <c r="N66" s="76" t="n"/>
      <c r="O66" s="76" t="n"/>
      <c r="P66" s="76" t="n"/>
      <c r="Q66" s="76" t="n"/>
      <c r="R66" s="76" t="n"/>
      <c r="S66" s="76" t="n"/>
      <c r="T66" s="76" t="n"/>
      <c r="U66" s="76" t="n"/>
      <c r="V66" s="76" t="n"/>
      <c r="W66" s="76" t="n"/>
      <c r="X66" s="76" t="n"/>
      <c r="Y66" s="76" t="n"/>
      <c r="Z66" s="76" t="n"/>
      <c r="AA66" s="76" t="n"/>
      <c r="AB66" s="76" t="n"/>
      <c r="AC66" s="76" t="n"/>
      <c r="AD66" s="76" t="n"/>
      <c r="AE66" s="76" t="n"/>
      <c r="AF66" s="76" t="n"/>
      <c r="AG66" s="76" t="n"/>
      <c r="AH66" s="76" t="n"/>
      <c r="AI66" s="76" t="n"/>
      <c r="AJ66" s="76" t="n"/>
      <c r="AK66" s="76" t="n"/>
      <c r="AL66" s="76" t="n"/>
      <c r="AM66" s="76" t="n"/>
      <c r="AN66" s="76" t="n"/>
      <c r="AO66" s="76" t="n"/>
      <c r="AP66" s="76" t="n"/>
      <c r="AQ66" s="76" t="n"/>
      <c r="AR66" s="76" t="n"/>
      <c r="AS66" s="76" t="n"/>
      <c r="AT66" s="76" t="n"/>
      <c r="AU66" s="76" t="n"/>
      <c r="AV66" s="76" t="n"/>
      <c r="AW66" s="76" t="n"/>
      <c r="AX66" s="76" t="n"/>
      <c r="AY66" s="76" t="n"/>
      <c r="AZ66" s="76" t="n"/>
      <c r="BA66" s="76" t="n"/>
      <c r="BB66" s="76" t="n"/>
      <c r="BC66" s="76" t="n"/>
      <c r="BD66" s="76" t="n"/>
      <c r="BE66" s="76" t="n"/>
      <c r="BF66" s="76" t="n"/>
      <c r="BG66" s="76" t="n"/>
      <c r="BH66" s="76" t="n"/>
      <c r="BI66" s="76" t="n"/>
      <c r="BJ66" s="76" t="n"/>
      <c r="BK66" s="76" t="n"/>
      <c r="BL66" s="76" t="n"/>
      <c r="BM66" s="76" t="n"/>
      <c r="BN66" s="76" t="n"/>
      <c r="BO66" s="76" t="n"/>
      <c r="BP66" s="76" t="n"/>
      <c r="BQ66" s="76" t="n"/>
      <c r="BR66" s="76" t="n"/>
      <c r="BS66" s="76" t="n"/>
      <c r="BT66" s="76" t="n"/>
      <c r="BU66" s="76" t="n"/>
      <c r="BV66" s="76" t="n"/>
      <c r="BW66" s="76" t="n"/>
      <c r="BX66" s="76" t="n"/>
      <c r="BY66" s="76" t="n"/>
      <c r="BZ66" s="76" t="n"/>
      <c r="CA66" s="76" t="n"/>
      <c r="CB66" s="76" t="n"/>
      <c r="CC66" s="76" t="n"/>
      <c r="CD66" s="76" t="n"/>
      <c r="CE66" s="76" t="n"/>
      <c r="CF66" s="76" t="n"/>
      <c r="CG66" s="76" t="n"/>
      <c r="CH66" s="76" t="n"/>
      <c r="CI66" s="76" t="n"/>
      <c r="CJ66" s="76" t="n"/>
      <c r="CK66" s="76" t="n"/>
    </row>
    <row r="67">
      <c r="A67" s="33">
        <f>IF(Tasks!$B67="","",Tasks!B67)</f>
        <v/>
      </c>
      <c r="B67" s="34">
        <f>IF(Tasks!$B67="","",Tasks!D67)</f>
        <v/>
      </c>
      <c r="C67" s="34">
        <f>IF(Tasks!$B67="","",Tasks!E67)</f>
        <v/>
      </c>
      <c r="D67" s="45">
        <f>IF(Tasks!$B67="","",Tasks!G67)</f>
        <v/>
      </c>
      <c r="E67" s="45">
        <f>IF(Tasks!$B67="","",Tasks!H67)</f>
        <v/>
      </c>
      <c r="F67" s="76" t="n"/>
      <c r="G67" s="76" t="n"/>
      <c r="H67" s="76" t="n"/>
      <c r="I67" s="76" t="n"/>
      <c r="J67" s="76" t="n"/>
      <c r="K67" s="76" t="n"/>
      <c r="L67" s="76" t="n"/>
      <c r="M67" s="76" t="n"/>
      <c r="N67" s="76" t="n"/>
      <c r="O67" s="76" t="n"/>
      <c r="P67" s="76" t="n"/>
      <c r="Q67" s="76" t="n"/>
      <c r="R67" s="76" t="n"/>
      <c r="S67" s="76" t="n"/>
      <c r="T67" s="76" t="n"/>
      <c r="U67" s="76" t="n"/>
      <c r="V67" s="76" t="n"/>
      <c r="W67" s="76" t="n"/>
      <c r="X67" s="76" t="n"/>
      <c r="Y67" s="76" t="n"/>
      <c r="Z67" s="76" t="n"/>
      <c r="AA67" s="76" t="n"/>
      <c r="AB67" s="76" t="n"/>
      <c r="AC67" s="76" t="n"/>
      <c r="AD67" s="76" t="n"/>
      <c r="AE67" s="76" t="n"/>
      <c r="AF67" s="76" t="n"/>
      <c r="AG67" s="76" t="n"/>
      <c r="AH67" s="76" t="n"/>
      <c r="AI67" s="76" t="n"/>
      <c r="AJ67" s="76" t="n"/>
      <c r="AK67" s="76" t="n"/>
      <c r="AL67" s="76" t="n"/>
      <c r="AM67" s="76" t="n"/>
      <c r="AN67" s="76" t="n"/>
      <c r="AO67" s="76" t="n"/>
      <c r="AP67" s="76" t="n"/>
      <c r="AQ67" s="76" t="n"/>
      <c r="AR67" s="76" t="n"/>
      <c r="AS67" s="76" t="n"/>
      <c r="AT67" s="76" t="n"/>
      <c r="AU67" s="76" t="n"/>
      <c r="AV67" s="76" t="n"/>
      <c r="AW67" s="76" t="n"/>
      <c r="AX67" s="76" t="n"/>
      <c r="AY67" s="76" t="n"/>
      <c r="AZ67" s="76" t="n"/>
      <c r="BA67" s="76" t="n"/>
      <c r="BB67" s="76" t="n"/>
      <c r="BC67" s="76" t="n"/>
      <c r="BD67" s="76" t="n"/>
      <c r="BE67" s="76" t="n"/>
      <c r="BF67" s="76" t="n"/>
      <c r="BG67" s="76" t="n"/>
      <c r="BH67" s="76" t="n"/>
      <c r="BI67" s="76" t="n"/>
      <c r="BJ67" s="76" t="n"/>
      <c r="BK67" s="76" t="n"/>
      <c r="BL67" s="76" t="n"/>
      <c r="BM67" s="76" t="n"/>
      <c r="BN67" s="76" t="n"/>
      <c r="BO67" s="76" t="n"/>
      <c r="BP67" s="76" t="n"/>
      <c r="BQ67" s="76" t="n"/>
      <c r="BR67" s="76" t="n"/>
      <c r="BS67" s="76" t="n"/>
      <c r="BT67" s="76" t="n"/>
      <c r="BU67" s="76" t="n"/>
      <c r="BV67" s="76" t="n"/>
      <c r="BW67" s="76" t="n"/>
      <c r="BX67" s="76" t="n"/>
      <c r="BY67" s="76" t="n"/>
      <c r="BZ67" s="76" t="n"/>
      <c r="CA67" s="76" t="n"/>
      <c r="CB67" s="76" t="n"/>
      <c r="CC67" s="76" t="n"/>
      <c r="CD67" s="76" t="n"/>
      <c r="CE67" s="76" t="n"/>
      <c r="CF67" s="76" t="n"/>
      <c r="CG67" s="76" t="n"/>
      <c r="CH67" s="76" t="n"/>
      <c r="CI67" s="76" t="n"/>
      <c r="CJ67" s="76" t="n"/>
      <c r="CK67" s="76" t="n"/>
    </row>
    <row r="68">
      <c r="A68" s="33">
        <f>IF(Tasks!$B68="","",Tasks!B68)</f>
        <v/>
      </c>
      <c r="B68" s="34">
        <f>IF(Tasks!$B68="","",Tasks!D68)</f>
        <v/>
      </c>
      <c r="C68" s="34">
        <f>IF(Tasks!$B68="","",Tasks!E68)</f>
        <v/>
      </c>
      <c r="D68" s="45">
        <f>IF(Tasks!$B68="","",Tasks!G68)</f>
        <v/>
      </c>
      <c r="E68" s="45">
        <f>IF(Tasks!$B68="","",Tasks!H68)</f>
        <v/>
      </c>
      <c r="F68" s="76" t="n"/>
      <c r="G68" s="76" t="n"/>
      <c r="H68" s="76" t="n"/>
      <c r="I68" s="76" t="n"/>
      <c r="J68" s="76" t="n"/>
      <c r="K68" s="76" t="n"/>
      <c r="L68" s="76" t="n"/>
      <c r="M68" s="76" t="n"/>
      <c r="N68" s="76" t="n"/>
      <c r="O68" s="76" t="n"/>
      <c r="P68" s="76" t="n"/>
      <c r="Q68" s="76" t="n"/>
      <c r="R68" s="76" t="n"/>
      <c r="S68" s="76" t="n"/>
      <c r="T68" s="76" t="n"/>
      <c r="U68" s="76" t="n"/>
      <c r="V68" s="76" t="n"/>
      <c r="W68" s="76" t="n"/>
      <c r="X68" s="76" t="n"/>
      <c r="Y68" s="76" t="n"/>
      <c r="Z68" s="76" t="n"/>
      <c r="AA68" s="76" t="n"/>
      <c r="AB68" s="76" t="n"/>
      <c r="AC68" s="76" t="n"/>
      <c r="AD68" s="76" t="n"/>
      <c r="AE68" s="76" t="n"/>
      <c r="AF68" s="76" t="n"/>
      <c r="AG68" s="76" t="n"/>
      <c r="AH68" s="76" t="n"/>
      <c r="AI68" s="76" t="n"/>
      <c r="AJ68" s="76" t="n"/>
      <c r="AK68" s="76" t="n"/>
      <c r="AL68" s="76" t="n"/>
      <c r="AM68" s="76" t="n"/>
      <c r="AN68" s="76" t="n"/>
      <c r="AO68" s="76" t="n"/>
      <c r="AP68" s="76" t="n"/>
      <c r="AQ68" s="76" t="n"/>
      <c r="AR68" s="76" t="n"/>
      <c r="AS68" s="76" t="n"/>
      <c r="AT68" s="76" t="n"/>
      <c r="AU68" s="76" t="n"/>
      <c r="AV68" s="76" t="n"/>
      <c r="AW68" s="76" t="n"/>
      <c r="AX68" s="76" t="n"/>
      <c r="AY68" s="76" t="n"/>
      <c r="AZ68" s="76" t="n"/>
      <c r="BA68" s="76" t="n"/>
      <c r="BB68" s="76" t="n"/>
      <c r="BC68" s="76" t="n"/>
      <c r="BD68" s="76" t="n"/>
      <c r="BE68" s="76" t="n"/>
      <c r="BF68" s="76" t="n"/>
      <c r="BG68" s="76" t="n"/>
      <c r="BH68" s="76" t="n"/>
      <c r="BI68" s="76" t="n"/>
      <c r="BJ68" s="76" t="n"/>
      <c r="BK68" s="76" t="n"/>
      <c r="BL68" s="76" t="n"/>
      <c r="BM68" s="76" t="n"/>
      <c r="BN68" s="76" t="n"/>
      <c r="BO68" s="76" t="n"/>
      <c r="BP68" s="76" t="n"/>
      <c r="BQ68" s="76" t="n"/>
      <c r="BR68" s="76" t="n"/>
      <c r="BS68" s="76" t="n"/>
      <c r="BT68" s="76" t="n"/>
      <c r="BU68" s="76" t="n"/>
      <c r="BV68" s="76" t="n"/>
      <c r="BW68" s="76" t="n"/>
      <c r="BX68" s="76" t="n"/>
      <c r="BY68" s="76" t="n"/>
      <c r="BZ68" s="76" t="n"/>
      <c r="CA68" s="76" t="n"/>
      <c r="CB68" s="76" t="n"/>
      <c r="CC68" s="76" t="n"/>
      <c r="CD68" s="76" t="n"/>
      <c r="CE68" s="76" t="n"/>
      <c r="CF68" s="76" t="n"/>
      <c r="CG68" s="76" t="n"/>
      <c r="CH68" s="76" t="n"/>
      <c r="CI68" s="76" t="n"/>
      <c r="CJ68" s="76" t="n"/>
      <c r="CK68" s="76" t="n"/>
    </row>
    <row r="69">
      <c r="A69" s="33">
        <f>IF(Tasks!$B69="","",Tasks!B69)</f>
        <v/>
      </c>
      <c r="B69" s="34">
        <f>IF(Tasks!$B69="","",Tasks!D69)</f>
        <v/>
      </c>
      <c r="C69" s="34">
        <f>IF(Tasks!$B69="","",Tasks!E69)</f>
        <v/>
      </c>
      <c r="D69" s="45">
        <f>IF(Tasks!$B69="","",Tasks!G69)</f>
        <v/>
      </c>
      <c r="E69" s="45">
        <f>IF(Tasks!$B69="","",Tasks!H69)</f>
        <v/>
      </c>
      <c r="F69" s="76" t="n"/>
      <c r="G69" s="76" t="n"/>
      <c r="H69" s="76" t="n"/>
      <c r="I69" s="76" t="n"/>
      <c r="J69" s="76" t="n"/>
      <c r="K69" s="76" t="n"/>
      <c r="L69" s="76" t="n"/>
      <c r="M69" s="76" t="n"/>
      <c r="N69" s="76" t="n"/>
      <c r="O69" s="76" t="n"/>
      <c r="P69" s="76" t="n"/>
      <c r="Q69" s="76" t="n"/>
      <c r="R69" s="76" t="n"/>
      <c r="S69" s="76" t="n"/>
      <c r="T69" s="76" t="n"/>
      <c r="U69" s="76" t="n"/>
      <c r="V69" s="76" t="n"/>
      <c r="W69" s="76" t="n"/>
      <c r="X69" s="76" t="n"/>
      <c r="Y69" s="76" t="n"/>
      <c r="Z69" s="76" t="n"/>
      <c r="AA69" s="76" t="n"/>
      <c r="AB69" s="76" t="n"/>
      <c r="AC69" s="76" t="n"/>
      <c r="AD69" s="76" t="n"/>
      <c r="AE69" s="76" t="n"/>
      <c r="AF69" s="76" t="n"/>
      <c r="AG69" s="76" t="n"/>
      <c r="AH69" s="76" t="n"/>
      <c r="AI69" s="76" t="n"/>
      <c r="AJ69" s="76" t="n"/>
      <c r="AK69" s="76" t="n"/>
      <c r="AL69" s="76" t="n"/>
      <c r="AM69" s="76" t="n"/>
      <c r="AN69" s="76" t="n"/>
      <c r="AO69" s="76" t="n"/>
      <c r="AP69" s="76" t="n"/>
      <c r="AQ69" s="76" t="n"/>
      <c r="AR69" s="76" t="n"/>
      <c r="AS69" s="76" t="n"/>
      <c r="AT69" s="76" t="n"/>
      <c r="AU69" s="76" t="n"/>
      <c r="AV69" s="76" t="n"/>
      <c r="AW69" s="76" t="n"/>
      <c r="AX69" s="76" t="n"/>
      <c r="AY69" s="76" t="n"/>
      <c r="AZ69" s="76" t="n"/>
      <c r="BA69" s="76" t="n"/>
      <c r="BB69" s="76" t="n"/>
      <c r="BC69" s="76" t="n"/>
      <c r="BD69" s="76" t="n"/>
      <c r="BE69" s="76" t="n"/>
      <c r="BF69" s="76" t="n"/>
      <c r="BG69" s="76" t="n"/>
      <c r="BH69" s="76" t="n"/>
      <c r="BI69" s="76" t="n"/>
      <c r="BJ69" s="76" t="n"/>
      <c r="BK69" s="76" t="n"/>
      <c r="BL69" s="76" t="n"/>
      <c r="BM69" s="76" t="n"/>
      <c r="BN69" s="76" t="n"/>
      <c r="BO69" s="76" t="n"/>
      <c r="BP69" s="76" t="n"/>
      <c r="BQ69" s="76" t="n"/>
      <c r="BR69" s="76" t="n"/>
      <c r="BS69" s="76" t="n"/>
      <c r="BT69" s="76" t="n"/>
      <c r="BU69" s="76" t="n"/>
      <c r="BV69" s="76" t="n"/>
      <c r="BW69" s="76" t="n"/>
      <c r="BX69" s="76" t="n"/>
      <c r="BY69" s="76" t="n"/>
      <c r="BZ69" s="76" t="n"/>
      <c r="CA69" s="76" t="n"/>
      <c r="CB69" s="76" t="n"/>
      <c r="CC69" s="76" t="n"/>
      <c r="CD69" s="76" t="n"/>
      <c r="CE69" s="76" t="n"/>
      <c r="CF69" s="76" t="n"/>
      <c r="CG69" s="76" t="n"/>
      <c r="CH69" s="76" t="n"/>
      <c r="CI69" s="76" t="n"/>
      <c r="CJ69" s="76" t="n"/>
      <c r="CK69" s="76" t="n"/>
    </row>
    <row r="70">
      <c r="A70" s="33">
        <f>IF(Tasks!$B70="","",Tasks!B70)</f>
        <v/>
      </c>
      <c r="B70" s="34">
        <f>IF(Tasks!$B70="","",Tasks!D70)</f>
        <v/>
      </c>
      <c r="C70" s="34">
        <f>IF(Tasks!$B70="","",Tasks!E70)</f>
        <v/>
      </c>
      <c r="D70" s="45">
        <f>IF(Tasks!$B70="","",Tasks!G70)</f>
        <v/>
      </c>
      <c r="E70" s="45">
        <f>IF(Tasks!$B70="","",Tasks!H70)</f>
        <v/>
      </c>
      <c r="F70" s="76" t="n"/>
      <c r="G70" s="76" t="n"/>
      <c r="H70" s="76" t="n"/>
      <c r="I70" s="76" t="n"/>
      <c r="J70" s="76" t="n"/>
      <c r="K70" s="76" t="n"/>
      <c r="L70" s="76" t="n"/>
      <c r="M70" s="76" t="n"/>
      <c r="N70" s="76" t="n"/>
      <c r="O70" s="76" t="n"/>
      <c r="P70" s="76" t="n"/>
      <c r="Q70" s="76" t="n"/>
      <c r="R70" s="76" t="n"/>
      <c r="S70" s="76" t="n"/>
      <c r="T70" s="76" t="n"/>
      <c r="U70" s="76" t="n"/>
      <c r="V70" s="76" t="n"/>
      <c r="W70" s="76" t="n"/>
      <c r="X70" s="76" t="n"/>
      <c r="Y70" s="76" t="n"/>
      <c r="Z70" s="76" t="n"/>
      <c r="AA70" s="76" t="n"/>
      <c r="AB70" s="76" t="n"/>
      <c r="AC70" s="76" t="n"/>
      <c r="AD70" s="76" t="n"/>
      <c r="AE70" s="76" t="n"/>
      <c r="AF70" s="76" t="n"/>
      <c r="AG70" s="76" t="n"/>
      <c r="AH70" s="76" t="n"/>
      <c r="AI70" s="76" t="n"/>
      <c r="AJ70" s="76" t="n"/>
      <c r="AK70" s="76" t="n"/>
      <c r="AL70" s="76" t="n"/>
      <c r="AM70" s="76" t="n"/>
      <c r="AN70" s="76" t="n"/>
      <c r="AO70" s="76" t="n"/>
      <c r="AP70" s="76" t="n"/>
      <c r="AQ70" s="76" t="n"/>
      <c r="AR70" s="76" t="n"/>
      <c r="AS70" s="76" t="n"/>
      <c r="AT70" s="76" t="n"/>
      <c r="AU70" s="76" t="n"/>
      <c r="AV70" s="76" t="n"/>
      <c r="AW70" s="76" t="n"/>
      <c r="AX70" s="76" t="n"/>
      <c r="AY70" s="76" t="n"/>
      <c r="AZ70" s="76" t="n"/>
      <c r="BA70" s="76" t="n"/>
      <c r="BB70" s="76" t="n"/>
      <c r="BC70" s="76" t="n"/>
      <c r="BD70" s="76" t="n"/>
      <c r="BE70" s="76" t="n"/>
      <c r="BF70" s="76" t="n"/>
      <c r="BG70" s="76" t="n"/>
      <c r="BH70" s="76" t="n"/>
      <c r="BI70" s="76" t="n"/>
      <c r="BJ70" s="76" t="n"/>
      <c r="BK70" s="76" t="n"/>
      <c r="BL70" s="76" t="n"/>
      <c r="BM70" s="76" t="n"/>
      <c r="BN70" s="76" t="n"/>
      <c r="BO70" s="76" t="n"/>
      <c r="BP70" s="76" t="n"/>
      <c r="BQ70" s="76" t="n"/>
      <c r="BR70" s="76" t="n"/>
      <c r="BS70" s="76" t="n"/>
      <c r="BT70" s="76" t="n"/>
      <c r="BU70" s="76" t="n"/>
      <c r="BV70" s="76" t="n"/>
      <c r="BW70" s="76" t="n"/>
      <c r="BX70" s="76" t="n"/>
      <c r="BY70" s="76" t="n"/>
      <c r="BZ70" s="76" t="n"/>
      <c r="CA70" s="76" t="n"/>
      <c r="CB70" s="76" t="n"/>
      <c r="CC70" s="76" t="n"/>
      <c r="CD70" s="76" t="n"/>
      <c r="CE70" s="76" t="n"/>
      <c r="CF70" s="76" t="n"/>
      <c r="CG70" s="76" t="n"/>
      <c r="CH70" s="76" t="n"/>
      <c r="CI70" s="76" t="n"/>
      <c r="CJ70" s="76" t="n"/>
      <c r="CK70" s="76" t="n"/>
    </row>
    <row r="71">
      <c r="A71" s="33">
        <f>IF(Tasks!$B71="","",Tasks!B71)</f>
        <v/>
      </c>
      <c r="B71" s="34">
        <f>IF(Tasks!$B71="","",Tasks!D71)</f>
        <v/>
      </c>
      <c r="C71" s="34">
        <f>IF(Tasks!$B71="","",Tasks!E71)</f>
        <v/>
      </c>
      <c r="D71" s="45">
        <f>IF(Tasks!$B71="","",Tasks!G71)</f>
        <v/>
      </c>
      <c r="E71" s="45">
        <f>IF(Tasks!$B71="","",Tasks!H71)</f>
        <v/>
      </c>
      <c r="F71" s="76" t="n"/>
      <c r="G71" s="76" t="n"/>
      <c r="H71" s="76" t="n"/>
      <c r="I71" s="76" t="n"/>
      <c r="J71" s="76" t="n"/>
      <c r="K71" s="76" t="n"/>
      <c r="L71" s="76" t="n"/>
      <c r="M71" s="76" t="n"/>
      <c r="N71" s="76" t="n"/>
      <c r="O71" s="76" t="n"/>
      <c r="P71" s="76" t="n"/>
      <c r="Q71" s="76" t="n"/>
      <c r="R71" s="76" t="n"/>
      <c r="S71" s="76" t="n"/>
      <c r="T71" s="76" t="n"/>
      <c r="U71" s="76" t="n"/>
      <c r="V71" s="76" t="n"/>
      <c r="W71" s="76" t="n"/>
      <c r="X71" s="76" t="n"/>
      <c r="Y71" s="76" t="n"/>
      <c r="Z71" s="76" t="n"/>
      <c r="AA71" s="76" t="n"/>
      <c r="AB71" s="76" t="n"/>
      <c r="AC71" s="76" t="n"/>
      <c r="AD71" s="76" t="n"/>
      <c r="AE71" s="76" t="n"/>
      <c r="AF71" s="76" t="n"/>
      <c r="AG71" s="76" t="n"/>
      <c r="AH71" s="76" t="n"/>
      <c r="AI71" s="76" t="n"/>
      <c r="AJ71" s="76" t="n"/>
      <c r="AK71" s="76" t="n"/>
      <c r="AL71" s="76" t="n"/>
      <c r="AM71" s="76" t="n"/>
      <c r="AN71" s="76" t="n"/>
      <c r="AO71" s="76" t="n"/>
      <c r="AP71" s="76" t="n"/>
      <c r="AQ71" s="76" t="n"/>
      <c r="AR71" s="76" t="n"/>
      <c r="AS71" s="76" t="n"/>
      <c r="AT71" s="76" t="n"/>
      <c r="AU71" s="76" t="n"/>
      <c r="AV71" s="76" t="n"/>
      <c r="AW71" s="76" t="n"/>
      <c r="AX71" s="76" t="n"/>
      <c r="AY71" s="76" t="n"/>
      <c r="AZ71" s="76" t="n"/>
      <c r="BA71" s="76" t="n"/>
      <c r="BB71" s="76" t="n"/>
      <c r="BC71" s="76" t="n"/>
      <c r="BD71" s="76" t="n"/>
      <c r="BE71" s="76" t="n"/>
      <c r="BF71" s="76" t="n"/>
      <c r="BG71" s="76" t="n"/>
      <c r="BH71" s="76" t="n"/>
      <c r="BI71" s="76" t="n"/>
      <c r="BJ71" s="76" t="n"/>
      <c r="BK71" s="76" t="n"/>
      <c r="BL71" s="76" t="n"/>
      <c r="BM71" s="76" t="n"/>
      <c r="BN71" s="76" t="n"/>
      <c r="BO71" s="76" t="n"/>
      <c r="BP71" s="76" t="n"/>
      <c r="BQ71" s="76" t="n"/>
      <c r="BR71" s="76" t="n"/>
      <c r="BS71" s="76" t="n"/>
      <c r="BT71" s="76" t="n"/>
      <c r="BU71" s="76" t="n"/>
      <c r="BV71" s="76" t="n"/>
      <c r="BW71" s="76" t="n"/>
      <c r="BX71" s="76" t="n"/>
      <c r="BY71" s="76" t="n"/>
      <c r="BZ71" s="76" t="n"/>
      <c r="CA71" s="76" t="n"/>
      <c r="CB71" s="76" t="n"/>
      <c r="CC71" s="76" t="n"/>
      <c r="CD71" s="76" t="n"/>
      <c r="CE71" s="76" t="n"/>
      <c r="CF71" s="76" t="n"/>
      <c r="CG71" s="76" t="n"/>
      <c r="CH71" s="76" t="n"/>
      <c r="CI71" s="76" t="n"/>
      <c r="CJ71" s="76" t="n"/>
      <c r="CK71" s="76" t="n"/>
    </row>
    <row r="72">
      <c r="A72" s="33">
        <f>IF(Tasks!$B72="","",Tasks!B72)</f>
        <v/>
      </c>
      <c r="B72" s="34">
        <f>IF(Tasks!$B72="","",Tasks!D72)</f>
        <v/>
      </c>
      <c r="C72" s="34">
        <f>IF(Tasks!$B72="","",Tasks!E72)</f>
        <v/>
      </c>
      <c r="D72" s="45">
        <f>IF(Tasks!$B72="","",Tasks!G72)</f>
        <v/>
      </c>
      <c r="E72" s="45">
        <f>IF(Tasks!$B72="","",Tasks!H72)</f>
        <v/>
      </c>
      <c r="F72" s="76" t="n"/>
      <c r="G72" s="76" t="n"/>
      <c r="H72" s="76" t="n"/>
      <c r="I72" s="76" t="n"/>
      <c r="J72" s="76" t="n"/>
      <c r="K72" s="76" t="n"/>
      <c r="L72" s="76" t="n"/>
      <c r="M72" s="76" t="n"/>
      <c r="N72" s="76" t="n"/>
      <c r="O72" s="76" t="n"/>
      <c r="P72" s="76" t="n"/>
      <c r="Q72" s="76" t="n"/>
      <c r="R72" s="76" t="n"/>
      <c r="S72" s="76" t="n"/>
      <c r="T72" s="76" t="n"/>
      <c r="U72" s="76" t="n"/>
      <c r="V72" s="76" t="n"/>
      <c r="W72" s="76" t="n"/>
      <c r="X72" s="76" t="n"/>
      <c r="Y72" s="76" t="n"/>
      <c r="Z72" s="76" t="n"/>
      <c r="AA72" s="76" t="n"/>
      <c r="AB72" s="76" t="n"/>
      <c r="AC72" s="76" t="n"/>
      <c r="AD72" s="76" t="n"/>
      <c r="AE72" s="76" t="n"/>
      <c r="AF72" s="76" t="n"/>
      <c r="AG72" s="76" t="n"/>
      <c r="AH72" s="76" t="n"/>
      <c r="AI72" s="76" t="n"/>
      <c r="AJ72" s="76" t="n"/>
      <c r="AK72" s="76" t="n"/>
      <c r="AL72" s="76" t="n"/>
      <c r="AM72" s="76" t="n"/>
      <c r="AN72" s="76" t="n"/>
      <c r="AO72" s="76" t="n"/>
      <c r="AP72" s="76" t="n"/>
      <c r="AQ72" s="76" t="n"/>
      <c r="AR72" s="76" t="n"/>
      <c r="AS72" s="76" t="n"/>
      <c r="AT72" s="76" t="n"/>
      <c r="AU72" s="76" t="n"/>
      <c r="AV72" s="76" t="n"/>
      <c r="AW72" s="76" t="n"/>
      <c r="AX72" s="76" t="n"/>
      <c r="AY72" s="76" t="n"/>
      <c r="AZ72" s="76" t="n"/>
      <c r="BA72" s="76" t="n"/>
      <c r="BB72" s="76" t="n"/>
      <c r="BC72" s="76" t="n"/>
      <c r="BD72" s="76" t="n"/>
      <c r="BE72" s="76" t="n"/>
      <c r="BF72" s="76" t="n"/>
      <c r="BG72" s="76" t="n"/>
      <c r="BH72" s="76" t="n"/>
      <c r="BI72" s="76" t="n"/>
      <c r="BJ72" s="76" t="n"/>
      <c r="BK72" s="76" t="n"/>
      <c r="BL72" s="76" t="n"/>
      <c r="BM72" s="76" t="n"/>
      <c r="BN72" s="76" t="n"/>
      <c r="BO72" s="76" t="n"/>
      <c r="BP72" s="76" t="n"/>
      <c r="BQ72" s="76" t="n"/>
      <c r="BR72" s="76" t="n"/>
      <c r="BS72" s="76" t="n"/>
      <c r="BT72" s="76" t="n"/>
      <c r="BU72" s="76" t="n"/>
      <c r="BV72" s="76" t="n"/>
      <c r="BW72" s="76" t="n"/>
      <c r="BX72" s="76" t="n"/>
      <c r="BY72" s="76" t="n"/>
      <c r="BZ72" s="76" t="n"/>
      <c r="CA72" s="76" t="n"/>
      <c r="CB72" s="76" t="n"/>
      <c r="CC72" s="76" t="n"/>
      <c r="CD72" s="76" t="n"/>
      <c r="CE72" s="76" t="n"/>
      <c r="CF72" s="76" t="n"/>
      <c r="CG72" s="76" t="n"/>
      <c r="CH72" s="76" t="n"/>
      <c r="CI72" s="76" t="n"/>
      <c r="CJ72" s="76" t="n"/>
      <c r="CK72" s="76" t="n"/>
    </row>
    <row r="73">
      <c r="A73" s="33">
        <f>IF(Tasks!$B73="","",Tasks!B73)</f>
        <v/>
      </c>
      <c r="B73" s="34">
        <f>IF(Tasks!$B73="","",Tasks!D73)</f>
        <v/>
      </c>
      <c r="C73" s="34">
        <f>IF(Tasks!$B73="","",Tasks!E73)</f>
        <v/>
      </c>
      <c r="D73" s="45">
        <f>IF(Tasks!$B73="","",Tasks!G73)</f>
        <v/>
      </c>
      <c r="E73" s="45">
        <f>IF(Tasks!$B73="","",Tasks!H73)</f>
        <v/>
      </c>
      <c r="F73" s="76" t="n"/>
      <c r="G73" s="76" t="n"/>
      <c r="H73" s="76" t="n"/>
      <c r="I73" s="76" t="n"/>
      <c r="J73" s="76" t="n"/>
      <c r="K73" s="76" t="n"/>
      <c r="L73" s="76" t="n"/>
      <c r="M73" s="76" t="n"/>
      <c r="N73" s="76" t="n"/>
      <c r="O73" s="76" t="n"/>
      <c r="P73" s="76" t="n"/>
      <c r="Q73" s="76" t="n"/>
      <c r="R73" s="76" t="n"/>
      <c r="S73" s="76" t="n"/>
      <c r="T73" s="76" t="n"/>
      <c r="U73" s="76" t="n"/>
      <c r="V73" s="76" t="n"/>
      <c r="W73" s="76" t="n"/>
      <c r="X73" s="76" t="n"/>
      <c r="Y73" s="76" t="n"/>
      <c r="Z73" s="76" t="n"/>
      <c r="AA73" s="76" t="n"/>
      <c r="AB73" s="76" t="n"/>
      <c r="AC73" s="76" t="n"/>
      <c r="AD73" s="76" t="n"/>
      <c r="AE73" s="76" t="n"/>
      <c r="AF73" s="76" t="n"/>
      <c r="AG73" s="76" t="n"/>
      <c r="AH73" s="76" t="n"/>
      <c r="AI73" s="76" t="n"/>
      <c r="AJ73" s="76" t="n"/>
      <c r="AK73" s="76" t="n"/>
      <c r="AL73" s="76" t="n"/>
      <c r="AM73" s="76" t="n"/>
      <c r="AN73" s="76" t="n"/>
      <c r="AO73" s="76" t="n"/>
      <c r="AP73" s="76" t="n"/>
      <c r="AQ73" s="76" t="n"/>
      <c r="AR73" s="76" t="n"/>
      <c r="AS73" s="76" t="n"/>
      <c r="AT73" s="76" t="n"/>
      <c r="AU73" s="76" t="n"/>
      <c r="AV73" s="76" t="n"/>
      <c r="AW73" s="76" t="n"/>
      <c r="AX73" s="76" t="n"/>
      <c r="AY73" s="76" t="n"/>
      <c r="AZ73" s="76" t="n"/>
      <c r="BA73" s="76" t="n"/>
      <c r="BB73" s="76" t="n"/>
      <c r="BC73" s="76" t="n"/>
      <c r="BD73" s="76" t="n"/>
      <c r="BE73" s="76" t="n"/>
      <c r="BF73" s="76" t="n"/>
      <c r="BG73" s="76" t="n"/>
      <c r="BH73" s="76" t="n"/>
      <c r="BI73" s="76" t="n"/>
      <c r="BJ73" s="76" t="n"/>
      <c r="BK73" s="76" t="n"/>
      <c r="BL73" s="76" t="n"/>
      <c r="BM73" s="76" t="n"/>
      <c r="BN73" s="76" t="n"/>
      <c r="BO73" s="76" t="n"/>
      <c r="BP73" s="76" t="n"/>
      <c r="BQ73" s="76" t="n"/>
      <c r="BR73" s="76" t="n"/>
      <c r="BS73" s="76" t="n"/>
      <c r="BT73" s="76" t="n"/>
      <c r="BU73" s="76" t="n"/>
      <c r="BV73" s="76" t="n"/>
      <c r="BW73" s="76" t="n"/>
      <c r="BX73" s="76" t="n"/>
      <c r="BY73" s="76" t="n"/>
      <c r="BZ73" s="76" t="n"/>
      <c r="CA73" s="76" t="n"/>
      <c r="CB73" s="76" t="n"/>
      <c r="CC73" s="76" t="n"/>
      <c r="CD73" s="76" t="n"/>
      <c r="CE73" s="76" t="n"/>
      <c r="CF73" s="76" t="n"/>
      <c r="CG73" s="76" t="n"/>
      <c r="CH73" s="76" t="n"/>
      <c r="CI73" s="76" t="n"/>
      <c r="CJ73" s="76" t="n"/>
      <c r="CK73" s="76" t="n"/>
    </row>
    <row r="74">
      <c r="A74" s="33">
        <f>IF(Tasks!$B74="","",Tasks!B74)</f>
        <v/>
      </c>
      <c r="B74" s="34">
        <f>IF(Tasks!$B74="","",Tasks!D74)</f>
        <v/>
      </c>
      <c r="C74" s="34">
        <f>IF(Tasks!$B74="","",Tasks!E74)</f>
        <v/>
      </c>
      <c r="D74" s="45">
        <f>IF(Tasks!$B74="","",Tasks!G74)</f>
        <v/>
      </c>
      <c r="E74" s="45">
        <f>IF(Tasks!$B74="","",Tasks!H74)</f>
        <v/>
      </c>
      <c r="F74" s="76" t="n"/>
      <c r="G74" s="76" t="n"/>
      <c r="H74" s="76" t="n"/>
      <c r="I74" s="76" t="n"/>
      <c r="J74" s="76" t="n"/>
      <c r="K74" s="76" t="n"/>
      <c r="L74" s="76" t="n"/>
      <c r="M74" s="76" t="n"/>
      <c r="N74" s="76" t="n"/>
      <c r="O74" s="76" t="n"/>
      <c r="P74" s="76" t="n"/>
      <c r="Q74" s="76" t="n"/>
      <c r="R74" s="76" t="n"/>
      <c r="S74" s="76" t="n"/>
      <c r="T74" s="76" t="n"/>
      <c r="U74" s="76" t="n"/>
      <c r="V74" s="76" t="n"/>
      <c r="W74" s="76" t="n"/>
      <c r="X74" s="76" t="n"/>
      <c r="Y74" s="76" t="n"/>
      <c r="Z74" s="76" t="n"/>
      <c r="AA74" s="76" t="n"/>
      <c r="AB74" s="76" t="n"/>
      <c r="AC74" s="76" t="n"/>
      <c r="AD74" s="76" t="n"/>
      <c r="AE74" s="76" t="n"/>
      <c r="AF74" s="76" t="n"/>
      <c r="AG74" s="76" t="n"/>
      <c r="AH74" s="76" t="n"/>
      <c r="AI74" s="76" t="n"/>
      <c r="AJ74" s="76" t="n"/>
      <c r="AK74" s="76" t="n"/>
      <c r="AL74" s="76" t="n"/>
      <c r="AM74" s="76" t="n"/>
      <c r="AN74" s="76" t="n"/>
      <c r="AO74" s="76" t="n"/>
      <c r="AP74" s="76" t="n"/>
      <c r="AQ74" s="76" t="n"/>
      <c r="AR74" s="76" t="n"/>
      <c r="AS74" s="76" t="n"/>
      <c r="AT74" s="76" t="n"/>
      <c r="AU74" s="76" t="n"/>
      <c r="AV74" s="76" t="n"/>
      <c r="AW74" s="76" t="n"/>
      <c r="AX74" s="76" t="n"/>
      <c r="AY74" s="76" t="n"/>
      <c r="AZ74" s="76" t="n"/>
      <c r="BA74" s="76" t="n"/>
      <c r="BB74" s="76" t="n"/>
      <c r="BC74" s="76" t="n"/>
      <c r="BD74" s="76" t="n"/>
      <c r="BE74" s="76" t="n"/>
      <c r="BF74" s="76" t="n"/>
      <c r="BG74" s="76" t="n"/>
      <c r="BH74" s="76" t="n"/>
      <c r="BI74" s="76" t="n"/>
      <c r="BJ74" s="76" t="n"/>
      <c r="BK74" s="76" t="n"/>
      <c r="BL74" s="76" t="n"/>
      <c r="BM74" s="76" t="n"/>
      <c r="BN74" s="76" t="n"/>
      <c r="BO74" s="76" t="n"/>
      <c r="BP74" s="76" t="n"/>
      <c r="BQ74" s="76" t="n"/>
      <c r="BR74" s="76" t="n"/>
      <c r="BS74" s="76" t="n"/>
      <c r="BT74" s="76" t="n"/>
      <c r="BU74" s="76" t="n"/>
      <c r="BV74" s="76" t="n"/>
      <c r="BW74" s="76" t="n"/>
      <c r="BX74" s="76" t="n"/>
      <c r="BY74" s="76" t="n"/>
      <c r="BZ74" s="76" t="n"/>
      <c r="CA74" s="76" t="n"/>
      <c r="CB74" s="76" t="n"/>
      <c r="CC74" s="76" t="n"/>
      <c r="CD74" s="76" t="n"/>
      <c r="CE74" s="76" t="n"/>
      <c r="CF74" s="76" t="n"/>
      <c r="CG74" s="76" t="n"/>
      <c r="CH74" s="76" t="n"/>
      <c r="CI74" s="76" t="n"/>
      <c r="CJ74" s="76" t="n"/>
      <c r="CK74" s="76" t="n"/>
    </row>
    <row r="75">
      <c r="A75" s="33">
        <f>IF(Tasks!$B75="","",Tasks!B75)</f>
        <v/>
      </c>
      <c r="B75" s="34">
        <f>IF(Tasks!$B75="","",Tasks!D75)</f>
        <v/>
      </c>
      <c r="C75" s="34">
        <f>IF(Tasks!$B75="","",Tasks!E75)</f>
        <v/>
      </c>
      <c r="D75" s="45">
        <f>IF(Tasks!$B75="","",Tasks!G75)</f>
        <v/>
      </c>
      <c r="E75" s="45">
        <f>IF(Tasks!$B75="","",Tasks!H75)</f>
        <v/>
      </c>
      <c r="F75" s="76" t="n"/>
      <c r="G75" s="76" t="n"/>
      <c r="H75" s="76" t="n"/>
      <c r="I75" s="76" t="n"/>
      <c r="J75" s="76" t="n"/>
      <c r="K75" s="76" t="n"/>
      <c r="L75" s="76" t="n"/>
      <c r="M75" s="76" t="n"/>
      <c r="N75" s="76" t="n"/>
      <c r="O75" s="76" t="n"/>
      <c r="P75" s="76" t="n"/>
      <c r="Q75" s="76" t="n"/>
      <c r="R75" s="76" t="n"/>
      <c r="S75" s="76" t="n"/>
      <c r="T75" s="76" t="n"/>
      <c r="U75" s="76" t="n"/>
      <c r="V75" s="76" t="n"/>
      <c r="W75" s="76" t="n"/>
      <c r="X75" s="76" t="n"/>
      <c r="Y75" s="76" t="n"/>
      <c r="Z75" s="76" t="n"/>
      <c r="AA75" s="76" t="n"/>
      <c r="AB75" s="76" t="n"/>
      <c r="AC75" s="76" t="n"/>
      <c r="AD75" s="76" t="n"/>
      <c r="AE75" s="76" t="n"/>
      <c r="AF75" s="76" t="n"/>
      <c r="AG75" s="76" t="n"/>
      <c r="AH75" s="76" t="n"/>
      <c r="AI75" s="76" t="n"/>
      <c r="AJ75" s="76" t="n"/>
      <c r="AK75" s="76" t="n"/>
      <c r="AL75" s="76" t="n"/>
      <c r="AM75" s="76" t="n"/>
      <c r="AN75" s="76" t="n"/>
      <c r="AO75" s="76" t="n"/>
      <c r="AP75" s="76" t="n"/>
      <c r="AQ75" s="76" t="n"/>
      <c r="AR75" s="76" t="n"/>
      <c r="AS75" s="76" t="n"/>
      <c r="AT75" s="76" t="n"/>
      <c r="AU75" s="76" t="n"/>
      <c r="AV75" s="76" t="n"/>
      <c r="AW75" s="76" t="n"/>
      <c r="AX75" s="76" t="n"/>
      <c r="AY75" s="76" t="n"/>
      <c r="AZ75" s="76" t="n"/>
      <c r="BA75" s="76" t="n"/>
      <c r="BB75" s="76" t="n"/>
      <c r="BC75" s="76" t="n"/>
      <c r="BD75" s="76" t="n"/>
      <c r="BE75" s="76" t="n"/>
      <c r="BF75" s="76" t="n"/>
      <c r="BG75" s="76" t="n"/>
      <c r="BH75" s="76" t="n"/>
      <c r="BI75" s="76" t="n"/>
      <c r="BJ75" s="76" t="n"/>
      <c r="BK75" s="76" t="n"/>
      <c r="BL75" s="76" t="n"/>
      <c r="BM75" s="76" t="n"/>
      <c r="BN75" s="76" t="n"/>
      <c r="BO75" s="76" t="n"/>
      <c r="BP75" s="76" t="n"/>
      <c r="BQ75" s="76" t="n"/>
      <c r="BR75" s="76" t="n"/>
      <c r="BS75" s="76" t="n"/>
      <c r="BT75" s="76" t="n"/>
      <c r="BU75" s="76" t="n"/>
      <c r="BV75" s="76" t="n"/>
      <c r="BW75" s="76" t="n"/>
      <c r="BX75" s="76" t="n"/>
      <c r="BY75" s="76" t="n"/>
      <c r="BZ75" s="76" t="n"/>
      <c r="CA75" s="76" t="n"/>
      <c r="CB75" s="76" t="n"/>
      <c r="CC75" s="76" t="n"/>
      <c r="CD75" s="76" t="n"/>
      <c r="CE75" s="76" t="n"/>
      <c r="CF75" s="76" t="n"/>
      <c r="CG75" s="76" t="n"/>
      <c r="CH75" s="76" t="n"/>
      <c r="CI75" s="76" t="n"/>
      <c r="CJ75" s="76" t="n"/>
      <c r="CK75" s="76" t="n"/>
    </row>
    <row r="76">
      <c r="A76" s="33">
        <f>IF(Tasks!$B76="","",Tasks!B76)</f>
        <v/>
      </c>
      <c r="B76" s="34">
        <f>IF(Tasks!$B76="","",Tasks!D76)</f>
        <v/>
      </c>
      <c r="C76" s="34">
        <f>IF(Tasks!$B76="","",Tasks!E76)</f>
        <v/>
      </c>
      <c r="D76" s="45">
        <f>IF(Tasks!$B76="","",Tasks!G76)</f>
        <v/>
      </c>
      <c r="E76" s="45">
        <f>IF(Tasks!$B76="","",Tasks!H76)</f>
        <v/>
      </c>
      <c r="F76" s="76" t="n"/>
      <c r="G76" s="76" t="n"/>
      <c r="H76" s="76" t="n"/>
      <c r="I76" s="76" t="n"/>
      <c r="J76" s="76" t="n"/>
      <c r="K76" s="76" t="n"/>
      <c r="L76" s="76" t="n"/>
      <c r="M76" s="76" t="n"/>
      <c r="N76" s="76" t="n"/>
      <c r="O76" s="76" t="n"/>
      <c r="P76" s="76" t="n"/>
      <c r="Q76" s="76" t="n"/>
      <c r="R76" s="76" t="n"/>
      <c r="S76" s="76" t="n"/>
      <c r="T76" s="76" t="n"/>
      <c r="U76" s="76" t="n"/>
      <c r="V76" s="76" t="n"/>
      <c r="W76" s="76" t="n"/>
      <c r="X76" s="76" t="n"/>
      <c r="Y76" s="76" t="n"/>
      <c r="Z76" s="76" t="n"/>
      <c r="AA76" s="76" t="n"/>
      <c r="AB76" s="76" t="n"/>
      <c r="AC76" s="76" t="n"/>
      <c r="AD76" s="76" t="n"/>
      <c r="AE76" s="76" t="n"/>
      <c r="AF76" s="76" t="n"/>
      <c r="AG76" s="76" t="n"/>
      <c r="AH76" s="76" t="n"/>
      <c r="AI76" s="76" t="n"/>
      <c r="AJ76" s="76" t="n"/>
      <c r="AK76" s="76" t="n"/>
      <c r="AL76" s="76" t="n"/>
      <c r="AM76" s="76" t="n"/>
      <c r="AN76" s="76" t="n"/>
      <c r="AO76" s="76" t="n"/>
      <c r="AP76" s="76" t="n"/>
      <c r="AQ76" s="76" t="n"/>
      <c r="AR76" s="76" t="n"/>
      <c r="AS76" s="76" t="n"/>
      <c r="AT76" s="76" t="n"/>
      <c r="AU76" s="76" t="n"/>
      <c r="AV76" s="76" t="n"/>
      <c r="AW76" s="76" t="n"/>
      <c r="AX76" s="76" t="n"/>
      <c r="AY76" s="76" t="n"/>
      <c r="AZ76" s="76" t="n"/>
      <c r="BA76" s="76" t="n"/>
      <c r="BB76" s="76" t="n"/>
      <c r="BC76" s="76" t="n"/>
      <c r="BD76" s="76" t="n"/>
      <c r="BE76" s="76" t="n"/>
      <c r="BF76" s="76" t="n"/>
      <c r="BG76" s="76" t="n"/>
      <c r="BH76" s="76" t="n"/>
      <c r="BI76" s="76" t="n"/>
      <c r="BJ76" s="76" t="n"/>
      <c r="BK76" s="76" t="n"/>
      <c r="BL76" s="76" t="n"/>
      <c r="BM76" s="76" t="n"/>
      <c r="BN76" s="76" t="n"/>
      <c r="BO76" s="76" t="n"/>
      <c r="BP76" s="76" t="n"/>
      <c r="BQ76" s="76" t="n"/>
      <c r="BR76" s="76" t="n"/>
      <c r="BS76" s="76" t="n"/>
      <c r="BT76" s="76" t="n"/>
      <c r="BU76" s="76" t="n"/>
      <c r="BV76" s="76" t="n"/>
      <c r="BW76" s="76" t="n"/>
      <c r="BX76" s="76" t="n"/>
      <c r="BY76" s="76" t="n"/>
      <c r="BZ76" s="76" t="n"/>
      <c r="CA76" s="76" t="n"/>
      <c r="CB76" s="76" t="n"/>
      <c r="CC76" s="76" t="n"/>
      <c r="CD76" s="76" t="n"/>
      <c r="CE76" s="76" t="n"/>
      <c r="CF76" s="76" t="n"/>
      <c r="CG76" s="76" t="n"/>
      <c r="CH76" s="76" t="n"/>
      <c r="CI76" s="76" t="n"/>
      <c r="CJ76" s="76" t="n"/>
      <c r="CK76" s="76" t="n"/>
    </row>
    <row r="77">
      <c r="A77" s="33">
        <f>IF(Tasks!$B77="","",Tasks!B77)</f>
        <v/>
      </c>
      <c r="B77" s="34">
        <f>IF(Tasks!$B77="","",Tasks!D77)</f>
        <v/>
      </c>
      <c r="C77" s="34">
        <f>IF(Tasks!$B77="","",Tasks!E77)</f>
        <v/>
      </c>
      <c r="D77" s="45">
        <f>IF(Tasks!$B77="","",Tasks!G77)</f>
        <v/>
      </c>
      <c r="E77" s="45">
        <f>IF(Tasks!$B77="","",Tasks!H77)</f>
        <v/>
      </c>
      <c r="F77" s="76" t="n"/>
      <c r="G77" s="76" t="n"/>
      <c r="H77" s="76" t="n"/>
      <c r="I77" s="76" t="n"/>
      <c r="J77" s="76" t="n"/>
      <c r="K77" s="76" t="n"/>
      <c r="L77" s="76" t="n"/>
      <c r="M77" s="76" t="n"/>
      <c r="N77" s="76" t="n"/>
      <c r="O77" s="76" t="n"/>
      <c r="P77" s="76" t="n"/>
      <c r="Q77" s="76" t="n"/>
      <c r="R77" s="76" t="n"/>
      <c r="S77" s="76" t="n"/>
      <c r="T77" s="76" t="n"/>
      <c r="U77" s="76" t="n"/>
      <c r="V77" s="76" t="n"/>
      <c r="W77" s="76" t="n"/>
      <c r="X77" s="76" t="n"/>
      <c r="Y77" s="76" t="n"/>
      <c r="Z77" s="76" t="n"/>
      <c r="AA77" s="76" t="n"/>
      <c r="AB77" s="76" t="n"/>
      <c r="AC77" s="76" t="n"/>
      <c r="AD77" s="76" t="n"/>
      <c r="AE77" s="76" t="n"/>
      <c r="AF77" s="76" t="n"/>
      <c r="AG77" s="76" t="n"/>
      <c r="AH77" s="76" t="n"/>
      <c r="AI77" s="76" t="n"/>
      <c r="AJ77" s="76" t="n"/>
      <c r="AK77" s="76" t="n"/>
      <c r="AL77" s="76" t="n"/>
      <c r="AM77" s="76" t="n"/>
      <c r="AN77" s="76" t="n"/>
      <c r="AO77" s="76" t="n"/>
      <c r="AP77" s="76" t="n"/>
      <c r="AQ77" s="76" t="n"/>
      <c r="AR77" s="76" t="n"/>
      <c r="AS77" s="76" t="n"/>
      <c r="AT77" s="76" t="n"/>
      <c r="AU77" s="76" t="n"/>
      <c r="AV77" s="76" t="n"/>
      <c r="AW77" s="76" t="n"/>
      <c r="AX77" s="76" t="n"/>
      <c r="AY77" s="76" t="n"/>
      <c r="AZ77" s="76" t="n"/>
      <c r="BA77" s="76" t="n"/>
      <c r="BB77" s="76" t="n"/>
      <c r="BC77" s="76" t="n"/>
      <c r="BD77" s="76" t="n"/>
      <c r="BE77" s="76" t="n"/>
      <c r="BF77" s="76" t="n"/>
      <c r="BG77" s="76" t="n"/>
      <c r="BH77" s="76" t="n"/>
      <c r="BI77" s="76" t="n"/>
      <c r="BJ77" s="76" t="n"/>
      <c r="BK77" s="76" t="n"/>
      <c r="BL77" s="76" t="n"/>
      <c r="BM77" s="76" t="n"/>
      <c r="BN77" s="76" t="n"/>
      <c r="BO77" s="76" t="n"/>
      <c r="BP77" s="76" t="n"/>
      <c r="BQ77" s="76" t="n"/>
      <c r="BR77" s="76" t="n"/>
      <c r="BS77" s="76" t="n"/>
      <c r="BT77" s="76" t="n"/>
      <c r="BU77" s="76" t="n"/>
      <c r="BV77" s="76" t="n"/>
      <c r="BW77" s="76" t="n"/>
      <c r="BX77" s="76" t="n"/>
      <c r="BY77" s="76" t="n"/>
      <c r="BZ77" s="76" t="n"/>
      <c r="CA77" s="76" t="n"/>
      <c r="CB77" s="76" t="n"/>
      <c r="CC77" s="76" t="n"/>
      <c r="CD77" s="76" t="n"/>
      <c r="CE77" s="76" t="n"/>
      <c r="CF77" s="76" t="n"/>
      <c r="CG77" s="76" t="n"/>
      <c r="CH77" s="76" t="n"/>
      <c r="CI77" s="76" t="n"/>
      <c r="CJ77" s="76" t="n"/>
      <c r="CK77" s="76" t="n"/>
    </row>
    <row r="78">
      <c r="A78" s="33">
        <f>IF(Tasks!$B78="","",Tasks!B78)</f>
        <v/>
      </c>
      <c r="B78" s="34">
        <f>IF(Tasks!$B78="","",Tasks!D78)</f>
        <v/>
      </c>
      <c r="C78" s="34">
        <f>IF(Tasks!$B78="","",Tasks!E78)</f>
        <v/>
      </c>
      <c r="D78" s="45">
        <f>IF(Tasks!$B78="","",Tasks!G78)</f>
        <v/>
      </c>
      <c r="E78" s="45">
        <f>IF(Tasks!$B78="","",Tasks!H78)</f>
        <v/>
      </c>
      <c r="F78" s="76" t="n"/>
      <c r="G78" s="76" t="n"/>
      <c r="H78" s="76" t="n"/>
      <c r="I78" s="76" t="n"/>
      <c r="J78" s="76" t="n"/>
      <c r="K78" s="76" t="n"/>
      <c r="L78" s="76" t="n"/>
      <c r="M78" s="76" t="n"/>
      <c r="N78" s="76" t="n"/>
      <c r="O78" s="76" t="n"/>
      <c r="P78" s="76" t="n"/>
      <c r="Q78" s="76" t="n"/>
      <c r="R78" s="76" t="n"/>
      <c r="S78" s="76" t="n"/>
      <c r="T78" s="76" t="n"/>
      <c r="U78" s="76" t="n"/>
      <c r="V78" s="76" t="n"/>
      <c r="W78" s="76" t="n"/>
      <c r="X78" s="76" t="n"/>
      <c r="Y78" s="76" t="n"/>
      <c r="Z78" s="76" t="n"/>
      <c r="AA78" s="76" t="n"/>
      <c r="AB78" s="76" t="n"/>
      <c r="AC78" s="76" t="n"/>
      <c r="AD78" s="76" t="n"/>
      <c r="AE78" s="76" t="n"/>
      <c r="AF78" s="76" t="n"/>
      <c r="AG78" s="76" t="n"/>
      <c r="AH78" s="76" t="n"/>
      <c r="AI78" s="76" t="n"/>
      <c r="AJ78" s="76" t="n"/>
      <c r="AK78" s="76" t="n"/>
      <c r="AL78" s="76" t="n"/>
      <c r="AM78" s="76" t="n"/>
      <c r="AN78" s="76" t="n"/>
      <c r="AO78" s="76" t="n"/>
      <c r="AP78" s="76" t="n"/>
      <c r="AQ78" s="76" t="n"/>
      <c r="AR78" s="76" t="n"/>
      <c r="AS78" s="76" t="n"/>
      <c r="AT78" s="76" t="n"/>
      <c r="AU78" s="76" t="n"/>
      <c r="AV78" s="76" t="n"/>
      <c r="AW78" s="76" t="n"/>
      <c r="AX78" s="76" t="n"/>
      <c r="AY78" s="76" t="n"/>
      <c r="AZ78" s="76" t="n"/>
      <c r="BA78" s="76" t="n"/>
      <c r="BB78" s="76" t="n"/>
      <c r="BC78" s="76" t="n"/>
      <c r="BD78" s="76" t="n"/>
      <c r="BE78" s="76" t="n"/>
      <c r="BF78" s="76" t="n"/>
      <c r="BG78" s="76" t="n"/>
      <c r="BH78" s="76" t="n"/>
      <c r="BI78" s="76" t="n"/>
      <c r="BJ78" s="76" t="n"/>
      <c r="BK78" s="76" t="n"/>
      <c r="BL78" s="76" t="n"/>
      <c r="BM78" s="76" t="n"/>
      <c r="BN78" s="76" t="n"/>
      <c r="BO78" s="76" t="n"/>
      <c r="BP78" s="76" t="n"/>
      <c r="BQ78" s="76" t="n"/>
      <c r="BR78" s="76" t="n"/>
      <c r="BS78" s="76" t="n"/>
      <c r="BT78" s="76" t="n"/>
      <c r="BU78" s="76" t="n"/>
      <c r="BV78" s="76" t="n"/>
      <c r="BW78" s="76" t="n"/>
      <c r="BX78" s="76" t="n"/>
      <c r="BY78" s="76" t="n"/>
      <c r="BZ78" s="76" t="n"/>
      <c r="CA78" s="76" t="n"/>
      <c r="CB78" s="76" t="n"/>
      <c r="CC78" s="76" t="n"/>
      <c r="CD78" s="76" t="n"/>
      <c r="CE78" s="76" t="n"/>
      <c r="CF78" s="76" t="n"/>
      <c r="CG78" s="76" t="n"/>
      <c r="CH78" s="76" t="n"/>
      <c r="CI78" s="76" t="n"/>
      <c r="CJ78" s="76" t="n"/>
      <c r="CK78" s="76" t="n"/>
    </row>
    <row r="79">
      <c r="A79" s="33">
        <f>IF(Tasks!$B79="","",Tasks!B79)</f>
        <v/>
      </c>
      <c r="B79" s="34">
        <f>IF(Tasks!$B79="","",Tasks!D79)</f>
        <v/>
      </c>
      <c r="C79" s="34">
        <f>IF(Tasks!$B79="","",Tasks!E79)</f>
        <v/>
      </c>
      <c r="D79" s="45">
        <f>IF(Tasks!$B79="","",Tasks!G79)</f>
        <v/>
      </c>
      <c r="E79" s="45">
        <f>IF(Tasks!$B79="","",Tasks!H79)</f>
        <v/>
      </c>
      <c r="F79" s="76" t="n"/>
      <c r="G79" s="76" t="n"/>
      <c r="H79" s="76" t="n"/>
      <c r="I79" s="76" t="n"/>
      <c r="J79" s="76" t="n"/>
      <c r="K79" s="76" t="n"/>
      <c r="L79" s="76" t="n"/>
      <c r="M79" s="76" t="n"/>
      <c r="N79" s="76" t="n"/>
      <c r="O79" s="76" t="n"/>
      <c r="P79" s="76" t="n"/>
      <c r="Q79" s="76" t="n"/>
      <c r="R79" s="76" t="n"/>
      <c r="S79" s="76" t="n"/>
      <c r="T79" s="76" t="n"/>
      <c r="U79" s="76" t="n"/>
      <c r="V79" s="76" t="n"/>
      <c r="W79" s="76" t="n"/>
      <c r="X79" s="76" t="n"/>
      <c r="Y79" s="76" t="n"/>
      <c r="Z79" s="76" t="n"/>
      <c r="AA79" s="76" t="n"/>
      <c r="AB79" s="76" t="n"/>
      <c r="AC79" s="76" t="n"/>
      <c r="AD79" s="76" t="n"/>
      <c r="AE79" s="76" t="n"/>
      <c r="AF79" s="76" t="n"/>
      <c r="AG79" s="76" t="n"/>
      <c r="AH79" s="76" t="n"/>
      <c r="AI79" s="76" t="n"/>
      <c r="AJ79" s="76" t="n"/>
      <c r="AK79" s="76" t="n"/>
      <c r="AL79" s="76" t="n"/>
      <c r="AM79" s="76" t="n"/>
      <c r="AN79" s="76" t="n"/>
      <c r="AO79" s="76" t="n"/>
      <c r="AP79" s="76" t="n"/>
      <c r="AQ79" s="76" t="n"/>
      <c r="AR79" s="76" t="n"/>
      <c r="AS79" s="76" t="n"/>
      <c r="AT79" s="76" t="n"/>
      <c r="AU79" s="76" t="n"/>
      <c r="AV79" s="76" t="n"/>
      <c r="AW79" s="76" t="n"/>
      <c r="AX79" s="76" t="n"/>
      <c r="AY79" s="76" t="n"/>
      <c r="AZ79" s="76" t="n"/>
      <c r="BA79" s="76" t="n"/>
      <c r="BB79" s="76" t="n"/>
      <c r="BC79" s="76" t="n"/>
      <c r="BD79" s="76" t="n"/>
      <c r="BE79" s="76" t="n"/>
      <c r="BF79" s="76" t="n"/>
      <c r="BG79" s="76" t="n"/>
      <c r="BH79" s="76" t="n"/>
      <c r="BI79" s="76" t="n"/>
      <c r="BJ79" s="76" t="n"/>
      <c r="BK79" s="76" t="n"/>
      <c r="BL79" s="76" t="n"/>
      <c r="BM79" s="76" t="n"/>
      <c r="BN79" s="76" t="n"/>
      <c r="BO79" s="76" t="n"/>
      <c r="BP79" s="76" t="n"/>
      <c r="BQ79" s="76" t="n"/>
      <c r="BR79" s="76" t="n"/>
      <c r="BS79" s="76" t="n"/>
      <c r="BT79" s="76" t="n"/>
      <c r="BU79" s="76" t="n"/>
      <c r="BV79" s="76" t="n"/>
      <c r="BW79" s="76" t="n"/>
      <c r="BX79" s="76" t="n"/>
      <c r="BY79" s="76" t="n"/>
      <c r="BZ79" s="76" t="n"/>
      <c r="CA79" s="76" t="n"/>
      <c r="CB79" s="76" t="n"/>
      <c r="CC79" s="76" t="n"/>
      <c r="CD79" s="76" t="n"/>
      <c r="CE79" s="76" t="n"/>
      <c r="CF79" s="76" t="n"/>
      <c r="CG79" s="76" t="n"/>
      <c r="CH79" s="76" t="n"/>
      <c r="CI79" s="76" t="n"/>
      <c r="CJ79" s="76" t="n"/>
      <c r="CK79" s="76" t="n"/>
    </row>
    <row r="80">
      <c r="A80" s="33">
        <f>IF(Tasks!$B80="","",Tasks!B80)</f>
        <v/>
      </c>
      <c r="B80" s="34">
        <f>IF(Tasks!$B80="","",Tasks!D80)</f>
        <v/>
      </c>
      <c r="C80" s="34">
        <f>IF(Tasks!$B80="","",Tasks!E80)</f>
        <v/>
      </c>
      <c r="D80" s="45">
        <f>IF(Tasks!$B80="","",Tasks!G80)</f>
        <v/>
      </c>
      <c r="E80" s="45">
        <f>IF(Tasks!$B80="","",Tasks!H80)</f>
        <v/>
      </c>
      <c r="F80" s="76" t="n"/>
      <c r="G80" s="76" t="n"/>
      <c r="H80" s="76" t="n"/>
      <c r="I80" s="76" t="n"/>
      <c r="J80" s="76" t="n"/>
      <c r="K80" s="76" t="n"/>
      <c r="L80" s="76" t="n"/>
      <c r="M80" s="76" t="n"/>
      <c r="N80" s="76" t="n"/>
      <c r="O80" s="76" t="n"/>
      <c r="P80" s="76" t="n"/>
      <c r="Q80" s="76" t="n"/>
      <c r="R80" s="76" t="n"/>
      <c r="S80" s="76" t="n"/>
      <c r="T80" s="76" t="n"/>
      <c r="U80" s="76" t="n"/>
      <c r="V80" s="76" t="n"/>
      <c r="W80" s="76" t="n"/>
      <c r="X80" s="76" t="n"/>
      <c r="Y80" s="76" t="n"/>
      <c r="Z80" s="76" t="n"/>
      <c r="AA80" s="76" t="n"/>
      <c r="AB80" s="76" t="n"/>
      <c r="AC80" s="76" t="n"/>
      <c r="AD80" s="76" t="n"/>
      <c r="AE80" s="76" t="n"/>
      <c r="AF80" s="76" t="n"/>
      <c r="AG80" s="76" t="n"/>
      <c r="AH80" s="76" t="n"/>
      <c r="AI80" s="76" t="n"/>
      <c r="AJ80" s="76" t="n"/>
      <c r="AK80" s="76" t="n"/>
      <c r="AL80" s="76" t="n"/>
      <c r="AM80" s="76" t="n"/>
      <c r="AN80" s="76" t="n"/>
      <c r="AO80" s="76" t="n"/>
      <c r="AP80" s="76" t="n"/>
      <c r="AQ80" s="76" t="n"/>
      <c r="AR80" s="76" t="n"/>
      <c r="AS80" s="76" t="n"/>
      <c r="AT80" s="76" t="n"/>
      <c r="AU80" s="76" t="n"/>
      <c r="AV80" s="76" t="n"/>
      <c r="AW80" s="76" t="n"/>
      <c r="AX80" s="76" t="n"/>
      <c r="AY80" s="76" t="n"/>
      <c r="AZ80" s="76" t="n"/>
      <c r="BA80" s="76" t="n"/>
      <c r="BB80" s="76" t="n"/>
      <c r="BC80" s="76" t="n"/>
      <c r="BD80" s="76" t="n"/>
      <c r="BE80" s="76" t="n"/>
      <c r="BF80" s="76" t="n"/>
      <c r="BG80" s="76" t="n"/>
      <c r="BH80" s="76" t="n"/>
      <c r="BI80" s="76" t="n"/>
      <c r="BJ80" s="76" t="n"/>
      <c r="BK80" s="76" t="n"/>
      <c r="BL80" s="76" t="n"/>
      <c r="BM80" s="76" t="n"/>
      <c r="BN80" s="76" t="n"/>
      <c r="BO80" s="76" t="n"/>
      <c r="BP80" s="76" t="n"/>
      <c r="BQ80" s="76" t="n"/>
      <c r="BR80" s="76" t="n"/>
      <c r="BS80" s="76" t="n"/>
      <c r="BT80" s="76" t="n"/>
      <c r="BU80" s="76" t="n"/>
      <c r="BV80" s="76" t="n"/>
      <c r="BW80" s="76" t="n"/>
      <c r="BX80" s="76" t="n"/>
      <c r="BY80" s="76" t="n"/>
      <c r="BZ80" s="76" t="n"/>
      <c r="CA80" s="76" t="n"/>
      <c r="CB80" s="76" t="n"/>
      <c r="CC80" s="76" t="n"/>
      <c r="CD80" s="76" t="n"/>
      <c r="CE80" s="76" t="n"/>
      <c r="CF80" s="76" t="n"/>
      <c r="CG80" s="76" t="n"/>
      <c r="CH80" s="76" t="n"/>
      <c r="CI80" s="76" t="n"/>
      <c r="CJ80" s="76" t="n"/>
      <c r="CK80" s="76" t="n"/>
    </row>
    <row r="81">
      <c r="A81" s="33">
        <f>IF(Tasks!$B81="","",Tasks!B81)</f>
        <v/>
      </c>
      <c r="B81" s="34">
        <f>IF(Tasks!$B81="","",Tasks!D81)</f>
        <v/>
      </c>
      <c r="C81" s="34">
        <f>IF(Tasks!$B81="","",Tasks!E81)</f>
        <v/>
      </c>
      <c r="D81" s="45">
        <f>IF(Tasks!$B81="","",Tasks!G81)</f>
        <v/>
      </c>
      <c r="E81" s="45">
        <f>IF(Tasks!$B81="","",Tasks!H81)</f>
        <v/>
      </c>
      <c r="F81" s="76" t="n"/>
      <c r="G81" s="76" t="n"/>
      <c r="H81" s="76" t="n"/>
      <c r="I81" s="76" t="n"/>
      <c r="J81" s="76" t="n"/>
      <c r="K81" s="76" t="n"/>
      <c r="L81" s="76" t="n"/>
      <c r="M81" s="76" t="n"/>
      <c r="N81" s="76" t="n"/>
      <c r="O81" s="76" t="n"/>
      <c r="P81" s="76" t="n"/>
      <c r="Q81" s="76" t="n"/>
      <c r="R81" s="76" t="n"/>
      <c r="S81" s="76" t="n"/>
      <c r="T81" s="76" t="n"/>
      <c r="U81" s="76" t="n"/>
      <c r="V81" s="76" t="n"/>
      <c r="W81" s="76" t="n"/>
      <c r="X81" s="76" t="n"/>
      <c r="Y81" s="76" t="n"/>
      <c r="Z81" s="76" t="n"/>
      <c r="AA81" s="76" t="n"/>
      <c r="AB81" s="76" t="n"/>
      <c r="AC81" s="76" t="n"/>
      <c r="AD81" s="76" t="n"/>
      <c r="AE81" s="76" t="n"/>
      <c r="AF81" s="76" t="n"/>
      <c r="AG81" s="76" t="n"/>
      <c r="AH81" s="76" t="n"/>
      <c r="AI81" s="76" t="n"/>
      <c r="AJ81" s="76" t="n"/>
      <c r="AK81" s="76" t="n"/>
      <c r="AL81" s="76" t="n"/>
      <c r="AM81" s="76" t="n"/>
      <c r="AN81" s="76" t="n"/>
      <c r="AO81" s="76" t="n"/>
      <c r="AP81" s="76" t="n"/>
      <c r="AQ81" s="76" t="n"/>
      <c r="AR81" s="76" t="n"/>
      <c r="AS81" s="76" t="n"/>
      <c r="AT81" s="76" t="n"/>
      <c r="AU81" s="76" t="n"/>
      <c r="AV81" s="76" t="n"/>
      <c r="AW81" s="76" t="n"/>
      <c r="AX81" s="76" t="n"/>
      <c r="AY81" s="76" t="n"/>
      <c r="AZ81" s="76" t="n"/>
      <c r="BA81" s="76" t="n"/>
      <c r="BB81" s="76" t="n"/>
      <c r="BC81" s="76" t="n"/>
      <c r="BD81" s="76" t="n"/>
      <c r="BE81" s="76" t="n"/>
      <c r="BF81" s="76" t="n"/>
      <c r="BG81" s="76" t="n"/>
      <c r="BH81" s="76" t="n"/>
      <c r="BI81" s="76" t="n"/>
      <c r="BJ81" s="76" t="n"/>
      <c r="BK81" s="76" t="n"/>
      <c r="BL81" s="76" t="n"/>
      <c r="BM81" s="76" t="n"/>
      <c r="BN81" s="76" t="n"/>
      <c r="BO81" s="76" t="n"/>
      <c r="BP81" s="76" t="n"/>
      <c r="BQ81" s="76" t="n"/>
      <c r="BR81" s="76" t="n"/>
      <c r="BS81" s="76" t="n"/>
      <c r="BT81" s="76" t="n"/>
      <c r="BU81" s="76" t="n"/>
      <c r="BV81" s="76" t="n"/>
      <c r="BW81" s="76" t="n"/>
      <c r="BX81" s="76" t="n"/>
      <c r="BY81" s="76" t="n"/>
      <c r="BZ81" s="76" t="n"/>
      <c r="CA81" s="76" t="n"/>
      <c r="CB81" s="76" t="n"/>
      <c r="CC81" s="76" t="n"/>
      <c r="CD81" s="76" t="n"/>
      <c r="CE81" s="76" t="n"/>
      <c r="CF81" s="76" t="n"/>
      <c r="CG81" s="76" t="n"/>
      <c r="CH81" s="76" t="n"/>
      <c r="CI81" s="76" t="n"/>
      <c r="CJ81" s="76" t="n"/>
      <c r="CK81" s="76" t="n"/>
    </row>
    <row r="82">
      <c r="A82" s="33">
        <f>IF(Tasks!$B82="","",Tasks!B82)</f>
        <v/>
      </c>
      <c r="B82" s="34">
        <f>IF(Tasks!$B82="","",Tasks!D82)</f>
        <v/>
      </c>
      <c r="C82" s="34">
        <f>IF(Tasks!$B82="","",Tasks!E82)</f>
        <v/>
      </c>
      <c r="D82" s="45">
        <f>IF(Tasks!$B82="","",Tasks!G82)</f>
        <v/>
      </c>
      <c r="E82" s="45">
        <f>IF(Tasks!$B82="","",Tasks!H82)</f>
        <v/>
      </c>
      <c r="F82" s="76" t="n"/>
      <c r="G82" s="76" t="n"/>
      <c r="H82" s="76" t="n"/>
      <c r="I82" s="76" t="n"/>
      <c r="J82" s="76" t="n"/>
      <c r="K82" s="76" t="n"/>
      <c r="L82" s="76" t="n"/>
      <c r="M82" s="76" t="n"/>
      <c r="N82" s="76" t="n"/>
      <c r="O82" s="76" t="n"/>
      <c r="P82" s="76" t="n"/>
      <c r="Q82" s="76" t="n"/>
      <c r="R82" s="76" t="n"/>
      <c r="S82" s="76" t="n"/>
      <c r="T82" s="76" t="n"/>
      <c r="U82" s="76" t="n"/>
      <c r="V82" s="76" t="n"/>
      <c r="W82" s="76" t="n"/>
      <c r="X82" s="76" t="n"/>
      <c r="Y82" s="76" t="n"/>
      <c r="Z82" s="76" t="n"/>
      <c r="AA82" s="76" t="n"/>
      <c r="AB82" s="76" t="n"/>
      <c r="AC82" s="76" t="n"/>
      <c r="AD82" s="76" t="n"/>
      <c r="AE82" s="76" t="n"/>
      <c r="AF82" s="76" t="n"/>
      <c r="AG82" s="76" t="n"/>
      <c r="AH82" s="76" t="n"/>
      <c r="AI82" s="76" t="n"/>
      <c r="AJ82" s="76" t="n"/>
      <c r="AK82" s="76" t="n"/>
      <c r="AL82" s="76" t="n"/>
      <c r="AM82" s="76" t="n"/>
      <c r="AN82" s="76" t="n"/>
      <c r="AO82" s="76" t="n"/>
      <c r="AP82" s="76" t="n"/>
      <c r="AQ82" s="76" t="n"/>
      <c r="AR82" s="76" t="n"/>
      <c r="AS82" s="76" t="n"/>
      <c r="AT82" s="76" t="n"/>
      <c r="AU82" s="76" t="n"/>
      <c r="AV82" s="76" t="n"/>
      <c r="AW82" s="76" t="n"/>
      <c r="AX82" s="76" t="n"/>
      <c r="AY82" s="76" t="n"/>
      <c r="AZ82" s="76" t="n"/>
      <c r="BA82" s="76" t="n"/>
      <c r="BB82" s="76" t="n"/>
      <c r="BC82" s="76" t="n"/>
      <c r="BD82" s="76" t="n"/>
      <c r="BE82" s="76" t="n"/>
      <c r="BF82" s="76" t="n"/>
      <c r="BG82" s="76" t="n"/>
      <c r="BH82" s="76" t="n"/>
      <c r="BI82" s="76" t="n"/>
      <c r="BJ82" s="76" t="n"/>
      <c r="BK82" s="76" t="n"/>
      <c r="BL82" s="76" t="n"/>
      <c r="BM82" s="76" t="n"/>
      <c r="BN82" s="76" t="n"/>
      <c r="BO82" s="76" t="n"/>
      <c r="BP82" s="76" t="n"/>
      <c r="BQ82" s="76" t="n"/>
      <c r="BR82" s="76" t="n"/>
      <c r="BS82" s="76" t="n"/>
      <c r="BT82" s="76" t="n"/>
      <c r="BU82" s="76" t="n"/>
      <c r="BV82" s="76" t="n"/>
      <c r="BW82" s="76" t="n"/>
      <c r="BX82" s="76" t="n"/>
      <c r="BY82" s="76" t="n"/>
      <c r="BZ82" s="76" t="n"/>
      <c r="CA82" s="76" t="n"/>
      <c r="CB82" s="76" t="n"/>
      <c r="CC82" s="76" t="n"/>
      <c r="CD82" s="76" t="n"/>
      <c r="CE82" s="76" t="n"/>
      <c r="CF82" s="76" t="n"/>
      <c r="CG82" s="76" t="n"/>
      <c r="CH82" s="76" t="n"/>
      <c r="CI82" s="76" t="n"/>
      <c r="CJ82" s="76" t="n"/>
      <c r="CK82" s="76" t="n"/>
    </row>
    <row r="83">
      <c r="A83" s="33">
        <f>IF(Tasks!$B83="","",Tasks!B83)</f>
        <v/>
      </c>
      <c r="B83" s="34">
        <f>IF(Tasks!$B83="","",Tasks!D83)</f>
        <v/>
      </c>
      <c r="C83" s="34">
        <f>IF(Tasks!$B83="","",Tasks!E83)</f>
        <v/>
      </c>
      <c r="D83" s="45">
        <f>IF(Tasks!$B83="","",Tasks!G83)</f>
        <v/>
      </c>
      <c r="E83" s="45">
        <f>IF(Tasks!$B83="","",Tasks!H83)</f>
        <v/>
      </c>
      <c r="F83" s="76" t="n"/>
      <c r="G83" s="76" t="n"/>
      <c r="H83" s="76" t="n"/>
      <c r="I83" s="76" t="n"/>
      <c r="J83" s="76" t="n"/>
      <c r="K83" s="76" t="n"/>
      <c r="L83" s="76" t="n"/>
      <c r="M83" s="76" t="n"/>
      <c r="N83" s="76" t="n"/>
      <c r="O83" s="76" t="n"/>
      <c r="P83" s="76" t="n"/>
      <c r="Q83" s="76" t="n"/>
      <c r="R83" s="76" t="n"/>
      <c r="S83" s="76" t="n"/>
      <c r="T83" s="76" t="n"/>
      <c r="U83" s="76" t="n"/>
      <c r="V83" s="76" t="n"/>
      <c r="W83" s="76" t="n"/>
      <c r="X83" s="76" t="n"/>
      <c r="Y83" s="76" t="n"/>
      <c r="Z83" s="76" t="n"/>
      <c r="AA83" s="76" t="n"/>
      <c r="AB83" s="76" t="n"/>
      <c r="AC83" s="76" t="n"/>
      <c r="AD83" s="76" t="n"/>
      <c r="AE83" s="76" t="n"/>
      <c r="AF83" s="76" t="n"/>
      <c r="AG83" s="76" t="n"/>
      <c r="AH83" s="76" t="n"/>
      <c r="AI83" s="76" t="n"/>
      <c r="AJ83" s="76" t="n"/>
      <c r="AK83" s="76" t="n"/>
      <c r="AL83" s="76" t="n"/>
      <c r="AM83" s="76" t="n"/>
      <c r="AN83" s="76" t="n"/>
      <c r="AO83" s="76" t="n"/>
      <c r="AP83" s="76" t="n"/>
      <c r="AQ83" s="76" t="n"/>
      <c r="AR83" s="76" t="n"/>
      <c r="AS83" s="76" t="n"/>
      <c r="AT83" s="76" t="n"/>
      <c r="AU83" s="76" t="n"/>
      <c r="AV83" s="76" t="n"/>
      <c r="AW83" s="76" t="n"/>
      <c r="AX83" s="76" t="n"/>
      <c r="AY83" s="76" t="n"/>
      <c r="AZ83" s="76" t="n"/>
      <c r="BA83" s="76" t="n"/>
      <c r="BB83" s="76" t="n"/>
      <c r="BC83" s="76" t="n"/>
      <c r="BD83" s="76" t="n"/>
      <c r="BE83" s="76" t="n"/>
      <c r="BF83" s="76" t="n"/>
      <c r="BG83" s="76" t="n"/>
      <c r="BH83" s="76" t="n"/>
      <c r="BI83" s="76" t="n"/>
      <c r="BJ83" s="76" t="n"/>
      <c r="BK83" s="76" t="n"/>
      <c r="BL83" s="76" t="n"/>
      <c r="BM83" s="76" t="n"/>
      <c r="BN83" s="76" t="n"/>
      <c r="BO83" s="76" t="n"/>
      <c r="BP83" s="76" t="n"/>
      <c r="BQ83" s="76" t="n"/>
      <c r="BR83" s="76" t="n"/>
      <c r="BS83" s="76" t="n"/>
      <c r="BT83" s="76" t="n"/>
      <c r="BU83" s="76" t="n"/>
      <c r="BV83" s="76" t="n"/>
      <c r="BW83" s="76" t="n"/>
      <c r="BX83" s="76" t="n"/>
      <c r="BY83" s="76" t="n"/>
      <c r="BZ83" s="76" t="n"/>
      <c r="CA83" s="76" t="n"/>
      <c r="CB83" s="76" t="n"/>
      <c r="CC83" s="76" t="n"/>
      <c r="CD83" s="76" t="n"/>
      <c r="CE83" s="76" t="n"/>
      <c r="CF83" s="76" t="n"/>
      <c r="CG83" s="76" t="n"/>
      <c r="CH83" s="76" t="n"/>
      <c r="CI83" s="76" t="n"/>
      <c r="CJ83" s="76" t="n"/>
      <c r="CK83" s="76" t="n"/>
    </row>
    <row r="84">
      <c r="A84" s="33">
        <f>IF(Tasks!$B84="","",Tasks!B84)</f>
        <v/>
      </c>
      <c r="B84" s="34">
        <f>IF(Tasks!$B84="","",Tasks!D84)</f>
        <v/>
      </c>
      <c r="C84" s="34">
        <f>IF(Tasks!$B84="","",Tasks!E84)</f>
        <v/>
      </c>
      <c r="D84" s="45">
        <f>IF(Tasks!$B84="","",Tasks!G84)</f>
        <v/>
      </c>
      <c r="E84" s="45">
        <f>IF(Tasks!$B84="","",Tasks!H84)</f>
        <v/>
      </c>
      <c r="F84" s="76" t="n"/>
      <c r="G84" s="76" t="n"/>
      <c r="H84" s="76" t="n"/>
      <c r="I84" s="76" t="n"/>
      <c r="J84" s="76" t="n"/>
      <c r="K84" s="76" t="n"/>
      <c r="L84" s="76" t="n"/>
      <c r="M84" s="76" t="n"/>
      <c r="N84" s="76" t="n"/>
      <c r="O84" s="76" t="n"/>
      <c r="P84" s="76" t="n"/>
      <c r="Q84" s="76" t="n"/>
      <c r="R84" s="76" t="n"/>
      <c r="S84" s="76" t="n"/>
      <c r="T84" s="76" t="n"/>
      <c r="U84" s="76" t="n"/>
      <c r="V84" s="76" t="n"/>
      <c r="W84" s="76" t="n"/>
      <c r="X84" s="76" t="n"/>
      <c r="Y84" s="76" t="n"/>
      <c r="Z84" s="76" t="n"/>
      <c r="AA84" s="76" t="n"/>
      <c r="AB84" s="76" t="n"/>
      <c r="AC84" s="76" t="n"/>
      <c r="AD84" s="76" t="n"/>
      <c r="AE84" s="76" t="n"/>
      <c r="AF84" s="76" t="n"/>
      <c r="AG84" s="76" t="n"/>
      <c r="AH84" s="76" t="n"/>
      <c r="AI84" s="76" t="n"/>
      <c r="AJ84" s="76" t="n"/>
      <c r="AK84" s="76" t="n"/>
      <c r="AL84" s="76" t="n"/>
      <c r="AM84" s="76" t="n"/>
      <c r="AN84" s="76" t="n"/>
      <c r="AO84" s="76" t="n"/>
      <c r="AP84" s="76" t="n"/>
      <c r="AQ84" s="76" t="n"/>
      <c r="AR84" s="76" t="n"/>
      <c r="AS84" s="76" t="n"/>
      <c r="AT84" s="76" t="n"/>
      <c r="AU84" s="76" t="n"/>
      <c r="AV84" s="76" t="n"/>
      <c r="AW84" s="76" t="n"/>
      <c r="AX84" s="76" t="n"/>
      <c r="AY84" s="76" t="n"/>
      <c r="AZ84" s="76" t="n"/>
      <c r="BA84" s="76" t="n"/>
      <c r="BB84" s="76" t="n"/>
      <c r="BC84" s="76" t="n"/>
      <c r="BD84" s="76" t="n"/>
      <c r="BE84" s="76" t="n"/>
      <c r="BF84" s="76" t="n"/>
      <c r="BG84" s="76" t="n"/>
      <c r="BH84" s="76" t="n"/>
      <c r="BI84" s="76" t="n"/>
      <c r="BJ84" s="76" t="n"/>
      <c r="BK84" s="76" t="n"/>
      <c r="BL84" s="76" t="n"/>
      <c r="BM84" s="76" t="n"/>
      <c r="BN84" s="76" t="n"/>
      <c r="BO84" s="76" t="n"/>
      <c r="BP84" s="76" t="n"/>
      <c r="BQ84" s="76" t="n"/>
      <c r="BR84" s="76" t="n"/>
      <c r="BS84" s="76" t="n"/>
      <c r="BT84" s="76" t="n"/>
      <c r="BU84" s="76" t="n"/>
      <c r="BV84" s="76" t="n"/>
      <c r="BW84" s="76" t="n"/>
      <c r="BX84" s="76" t="n"/>
      <c r="BY84" s="76" t="n"/>
      <c r="BZ84" s="76" t="n"/>
      <c r="CA84" s="76" t="n"/>
      <c r="CB84" s="76" t="n"/>
      <c r="CC84" s="76" t="n"/>
      <c r="CD84" s="76" t="n"/>
      <c r="CE84" s="76" t="n"/>
      <c r="CF84" s="76" t="n"/>
      <c r="CG84" s="76" t="n"/>
      <c r="CH84" s="76" t="n"/>
      <c r="CI84" s="76" t="n"/>
      <c r="CJ84" s="76" t="n"/>
      <c r="CK84" s="76" t="n"/>
    </row>
    <row r="85">
      <c r="A85" s="33">
        <f>IF(Tasks!$B85="","",Tasks!B85)</f>
        <v/>
      </c>
      <c r="B85" s="34">
        <f>IF(Tasks!$B85="","",Tasks!D85)</f>
        <v/>
      </c>
      <c r="C85" s="34">
        <f>IF(Tasks!$B85="","",Tasks!E85)</f>
        <v/>
      </c>
      <c r="D85" s="45">
        <f>IF(Tasks!$B85="","",Tasks!G85)</f>
        <v/>
      </c>
      <c r="E85" s="45">
        <f>IF(Tasks!$B85="","",Tasks!H85)</f>
        <v/>
      </c>
      <c r="F85" s="76" t="n"/>
      <c r="G85" s="76" t="n"/>
      <c r="H85" s="76" t="n"/>
      <c r="I85" s="76" t="n"/>
      <c r="J85" s="76" t="n"/>
      <c r="K85" s="76" t="n"/>
      <c r="L85" s="76" t="n"/>
      <c r="M85" s="76" t="n"/>
      <c r="N85" s="76" t="n"/>
      <c r="O85" s="76" t="n"/>
      <c r="P85" s="76" t="n"/>
      <c r="Q85" s="76" t="n"/>
      <c r="R85" s="76" t="n"/>
      <c r="S85" s="76" t="n"/>
      <c r="T85" s="76" t="n"/>
      <c r="U85" s="76" t="n"/>
      <c r="V85" s="76" t="n"/>
      <c r="W85" s="76" t="n"/>
      <c r="X85" s="76" t="n"/>
      <c r="Y85" s="76" t="n"/>
      <c r="Z85" s="76" t="n"/>
      <c r="AA85" s="76" t="n"/>
      <c r="AB85" s="76" t="n"/>
      <c r="AC85" s="76" t="n"/>
      <c r="AD85" s="76" t="n"/>
      <c r="AE85" s="76" t="n"/>
      <c r="AF85" s="76" t="n"/>
      <c r="AG85" s="76" t="n"/>
      <c r="AH85" s="76" t="n"/>
      <c r="AI85" s="76" t="n"/>
      <c r="AJ85" s="76" t="n"/>
      <c r="AK85" s="76" t="n"/>
      <c r="AL85" s="76" t="n"/>
      <c r="AM85" s="76" t="n"/>
      <c r="AN85" s="76" t="n"/>
      <c r="AO85" s="76" t="n"/>
      <c r="AP85" s="76" t="n"/>
      <c r="AQ85" s="76" t="n"/>
      <c r="AR85" s="76" t="n"/>
      <c r="AS85" s="76" t="n"/>
      <c r="AT85" s="76" t="n"/>
      <c r="AU85" s="76" t="n"/>
      <c r="AV85" s="76" t="n"/>
      <c r="AW85" s="76" t="n"/>
      <c r="AX85" s="76" t="n"/>
      <c r="AY85" s="76" t="n"/>
      <c r="AZ85" s="76" t="n"/>
      <c r="BA85" s="76" t="n"/>
      <c r="BB85" s="76" t="n"/>
      <c r="BC85" s="76" t="n"/>
      <c r="BD85" s="76" t="n"/>
      <c r="BE85" s="76" t="n"/>
      <c r="BF85" s="76" t="n"/>
      <c r="BG85" s="76" t="n"/>
      <c r="BH85" s="76" t="n"/>
      <c r="BI85" s="76" t="n"/>
      <c r="BJ85" s="76" t="n"/>
      <c r="BK85" s="76" t="n"/>
      <c r="BL85" s="76" t="n"/>
      <c r="BM85" s="76" t="n"/>
      <c r="BN85" s="76" t="n"/>
      <c r="BO85" s="76" t="n"/>
      <c r="BP85" s="76" t="n"/>
      <c r="BQ85" s="76" t="n"/>
      <c r="BR85" s="76" t="n"/>
      <c r="BS85" s="76" t="n"/>
      <c r="BT85" s="76" t="n"/>
      <c r="BU85" s="76" t="n"/>
      <c r="BV85" s="76" t="n"/>
      <c r="BW85" s="76" t="n"/>
      <c r="BX85" s="76" t="n"/>
      <c r="BY85" s="76" t="n"/>
      <c r="BZ85" s="76" t="n"/>
      <c r="CA85" s="76" t="n"/>
      <c r="CB85" s="76" t="n"/>
      <c r="CC85" s="76" t="n"/>
      <c r="CD85" s="76" t="n"/>
      <c r="CE85" s="76" t="n"/>
      <c r="CF85" s="76" t="n"/>
      <c r="CG85" s="76" t="n"/>
      <c r="CH85" s="76" t="n"/>
      <c r="CI85" s="76" t="n"/>
      <c r="CJ85" s="76" t="n"/>
      <c r="CK85" s="76" t="n"/>
    </row>
  </sheetData>
  <mergeCells count="1">
    <mergeCell ref="G3:K3"/>
  </mergeCells>
  <conditionalFormatting sqref="F6:CK85">
    <cfRule type="expression" priority="1" dxfId="17" stopIfTrue="1">
      <formula>AND(AND($A6&lt;&gt;"",F$5&gt;=INT($D6),F$5&lt;=INT($E6)),$C6="Done")</formula>
    </cfRule>
    <cfRule type="expression" priority="2" dxfId="18" stopIfTrue="1">
      <formula>AND(AND($A6&lt;&gt;"",F$5&gt;=INT($D6),F$5&lt;=INT($E6)),$E6&lt;NOW())</formula>
    </cfRule>
    <cfRule type="expression" priority="3" dxfId="19" stopIfTrue="1">
      <formula>AND(AND($A6&lt;&gt;"",F$5&gt;=INT($D6),F$5&lt;=INT($E6)),$C6="Blocked")</formula>
    </cfRule>
    <cfRule type="expression" priority="4" dxfId="20" stopIfTrue="1">
      <formula>AND($A6&lt;&gt;"",F$5&gt;=INT($D6),F$5&lt;=INT($E6))</formula>
    </cfRule>
    <cfRule type="expression" priority="5" dxfId="21">
      <formula>F$5=TODAY()</formula>
    </cfRule>
    <cfRule type="expression" priority="6" dxfId="22">
      <formula>WEEKDAY(F$5,2)&gt;5</formula>
    </cfRule>
  </conditionalFormatting>
  <conditionalFormatting sqref="C6:C85">
    <cfRule type="cellIs" priority="7" operator="equal" dxfId="6">
      <formula>"Not started"</formula>
    </cfRule>
    <cfRule type="cellIs" priority="8" operator="equal" dxfId="7">
      <formula>"In progress"</formula>
    </cfRule>
    <cfRule type="cellIs" priority="9" operator="equal" dxfId="8">
      <formula>"In review"</formula>
    </cfRule>
    <cfRule type="cellIs" priority="10" operator="equal" dxfId="9">
      <formula>"Blocked"</formula>
    </cfRule>
    <cfRule type="cellIs" priority="11" operator="equal" dxfId="10">
      <formula>"Done"</formula>
    </cfRule>
  </conditionalFormatting>
  <hyperlinks>
    <hyperlink xmlns:r="http://schemas.openxmlformats.org/officeDocument/2006/relationships" ref="A3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2E90FA"/>
    <outlinePr summaryBelow="1" summaryRight="1"/>
    <pageSetUpPr fitToPage="1"/>
  </sheetPr>
  <dimension ref="A1:H50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44" customWidth="1" min="3" max="3"/>
    <col width="44" customWidth="1" min="4" max="4"/>
    <col width="30" customWidth="1" min="5" max="5"/>
    <col width="8" customWidth="1" min="6" max="6"/>
    <col width="13" customWidth="1" min="7" max="7"/>
    <col width="10" customWidth="1" min="8" max="8"/>
  </cols>
  <sheetData>
    <row r="1" ht="30" customHeight="1">
      <c r="A1" s="47" t="inlineStr">
        <is>
          <t>Daily Check-ins</t>
        </is>
      </c>
    </row>
    <row r="2">
      <c r="A2" s="3" t="inlineStr">
        <is>
          <t>Team progress: one short row per person per day. Anything typed in 'Blocked by' turns red so the lead sees it.</t>
        </is>
      </c>
    </row>
    <row r="3">
      <c r="A3" s="48" t="inlineStr">
        <is>
          <t>← Back to Start Here</t>
        </is>
      </c>
    </row>
    <row r="5" ht="32" customHeight="1">
      <c r="A5" s="50" t="inlineStr">
        <is>
          <t>Date</t>
        </is>
      </c>
      <c r="B5" s="50" t="inlineStr">
        <is>
          <t>Member</t>
        </is>
      </c>
      <c r="C5" s="50" t="inlineStr">
        <is>
          <t>What I did</t>
        </is>
      </c>
      <c r="D5" s="50" t="inlineStr">
        <is>
          <t>What I'll do next</t>
        </is>
      </c>
      <c r="E5" s="50" t="inlineStr">
        <is>
          <t>Blocked by</t>
        </is>
      </c>
      <c r="F5" s="50" t="inlineStr">
        <is>
          <t>Hours</t>
        </is>
      </c>
      <c r="G5" s="50" t="inlineStr">
        <is>
          <t>Mood</t>
        </is>
      </c>
      <c r="H5" s="50" t="inlineStr">
        <is>
          <t>Task ID</t>
        </is>
      </c>
    </row>
    <row r="6">
      <c r="A6" s="77" t="n">
        <v>46304</v>
      </c>
      <c r="B6" s="78" t="inlineStr">
        <is>
          <t>Alex (example)</t>
        </is>
      </c>
      <c r="C6" s="59" t="inlineStr">
        <is>
          <t>Wrote the project brief and shared it</t>
        </is>
      </c>
      <c r="D6" s="59" t="inlineStr">
        <is>
          <t>Review feedback with the team</t>
        </is>
      </c>
      <c r="E6" s="59" t="inlineStr">
        <is>
          <t>—</t>
        </is>
      </c>
      <c r="F6" s="79" t="n">
        <v>2</v>
      </c>
      <c r="G6" s="78" t="inlineStr">
        <is>
          <t>Good</t>
        </is>
      </c>
      <c r="H6" s="78" t="inlineStr">
        <is>
          <t>T-001</t>
        </is>
      </c>
    </row>
    <row r="7">
      <c r="A7" s="80" t="n"/>
      <c r="B7" s="51" t="n"/>
      <c r="C7" s="65" t="n"/>
      <c r="D7" s="65" t="n"/>
      <c r="E7" s="65" t="n"/>
      <c r="F7" s="62" t="n"/>
      <c r="G7" s="51" t="n"/>
      <c r="H7" s="51" t="n"/>
    </row>
    <row r="8">
      <c r="A8" s="80" t="n"/>
      <c r="B8" s="51" t="n"/>
      <c r="C8" s="65" t="n"/>
      <c r="D8" s="65" t="n"/>
      <c r="E8" s="65" t="n"/>
      <c r="F8" s="62" t="n"/>
      <c r="G8" s="51" t="n"/>
      <c r="H8" s="51" t="n"/>
    </row>
    <row r="9">
      <c r="A9" s="80" t="n"/>
      <c r="B9" s="51" t="n"/>
      <c r="C9" s="65" t="n"/>
      <c r="D9" s="65" t="n"/>
      <c r="E9" s="65" t="n"/>
      <c r="F9" s="62" t="n"/>
      <c r="G9" s="51" t="n"/>
      <c r="H9" s="51" t="n"/>
    </row>
    <row r="10">
      <c r="A10" s="80" t="n"/>
      <c r="B10" s="51" t="n"/>
      <c r="C10" s="65" t="n"/>
      <c r="D10" s="65" t="n"/>
      <c r="E10" s="65" t="n"/>
      <c r="F10" s="62" t="n"/>
      <c r="G10" s="51" t="n"/>
      <c r="H10" s="51" t="n"/>
    </row>
    <row r="11">
      <c r="A11" s="80" t="n"/>
      <c r="B11" s="51" t="n"/>
      <c r="C11" s="65" t="n"/>
      <c r="D11" s="65" t="n"/>
      <c r="E11" s="65" t="n"/>
      <c r="F11" s="62" t="n"/>
      <c r="G11" s="51" t="n"/>
      <c r="H11" s="51" t="n"/>
    </row>
    <row r="12">
      <c r="A12" s="80" t="n"/>
      <c r="B12" s="51" t="n"/>
      <c r="C12" s="65" t="n"/>
      <c r="D12" s="65" t="n"/>
      <c r="E12" s="65" t="n"/>
      <c r="F12" s="62" t="n"/>
      <c r="G12" s="51" t="n"/>
      <c r="H12" s="51" t="n"/>
    </row>
    <row r="13">
      <c r="A13" s="80" t="n"/>
      <c r="B13" s="51" t="n"/>
      <c r="C13" s="65" t="n"/>
      <c r="D13" s="65" t="n"/>
      <c r="E13" s="65" t="n"/>
      <c r="F13" s="62" t="n"/>
      <c r="G13" s="51" t="n"/>
      <c r="H13" s="51" t="n"/>
    </row>
    <row r="14">
      <c r="A14" s="80" t="n"/>
      <c r="B14" s="51" t="n"/>
      <c r="C14" s="65" t="n"/>
      <c r="D14" s="65" t="n"/>
      <c r="E14" s="65" t="n"/>
      <c r="F14" s="62" t="n"/>
      <c r="G14" s="51" t="n"/>
      <c r="H14" s="51" t="n"/>
    </row>
    <row r="15">
      <c r="A15" s="80" t="n"/>
      <c r="B15" s="51" t="n"/>
      <c r="C15" s="65" t="n"/>
      <c r="D15" s="65" t="n"/>
      <c r="E15" s="65" t="n"/>
      <c r="F15" s="62" t="n"/>
      <c r="G15" s="51" t="n"/>
      <c r="H15" s="51" t="n"/>
    </row>
    <row r="16">
      <c r="A16" s="80" t="n"/>
      <c r="B16" s="51" t="n"/>
      <c r="C16" s="65" t="n"/>
      <c r="D16" s="65" t="n"/>
      <c r="E16" s="65" t="n"/>
      <c r="F16" s="62" t="n"/>
      <c r="G16" s="51" t="n"/>
      <c r="H16" s="51" t="n"/>
    </row>
    <row r="17">
      <c r="A17" s="80" t="n"/>
      <c r="B17" s="51" t="n"/>
      <c r="C17" s="65" t="n"/>
      <c r="D17" s="65" t="n"/>
      <c r="E17" s="65" t="n"/>
      <c r="F17" s="62" t="n"/>
      <c r="G17" s="51" t="n"/>
      <c r="H17" s="51" t="n"/>
    </row>
    <row r="18">
      <c r="A18" s="80" t="n"/>
      <c r="B18" s="51" t="n"/>
      <c r="C18" s="65" t="n"/>
      <c r="D18" s="65" t="n"/>
      <c r="E18" s="65" t="n"/>
      <c r="F18" s="62" t="n"/>
      <c r="G18" s="51" t="n"/>
      <c r="H18" s="51" t="n"/>
    </row>
    <row r="19">
      <c r="A19" s="80" t="n"/>
      <c r="B19" s="51" t="n"/>
      <c r="C19" s="65" t="n"/>
      <c r="D19" s="65" t="n"/>
      <c r="E19" s="65" t="n"/>
      <c r="F19" s="62" t="n"/>
      <c r="G19" s="51" t="n"/>
      <c r="H19" s="51" t="n"/>
    </row>
    <row r="20">
      <c r="A20" s="80" t="n"/>
      <c r="B20" s="51" t="n"/>
      <c r="C20" s="65" t="n"/>
      <c r="D20" s="65" t="n"/>
      <c r="E20" s="65" t="n"/>
      <c r="F20" s="62" t="n"/>
      <c r="G20" s="51" t="n"/>
      <c r="H20" s="51" t="n"/>
    </row>
    <row r="21">
      <c r="A21" s="80" t="n"/>
      <c r="B21" s="51" t="n"/>
      <c r="C21" s="65" t="n"/>
      <c r="D21" s="65" t="n"/>
      <c r="E21" s="65" t="n"/>
      <c r="F21" s="62" t="n"/>
      <c r="G21" s="51" t="n"/>
      <c r="H21" s="51" t="n"/>
    </row>
    <row r="22">
      <c r="A22" s="80" t="n"/>
      <c r="B22" s="51" t="n"/>
      <c r="C22" s="65" t="n"/>
      <c r="D22" s="65" t="n"/>
      <c r="E22" s="65" t="n"/>
      <c r="F22" s="62" t="n"/>
      <c r="G22" s="51" t="n"/>
      <c r="H22" s="51" t="n"/>
    </row>
    <row r="23">
      <c r="A23" s="80" t="n"/>
      <c r="B23" s="51" t="n"/>
      <c r="C23" s="65" t="n"/>
      <c r="D23" s="65" t="n"/>
      <c r="E23" s="65" t="n"/>
      <c r="F23" s="62" t="n"/>
      <c r="G23" s="51" t="n"/>
      <c r="H23" s="51" t="n"/>
    </row>
    <row r="24">
      <c r="A24" s="80" t="n"/>
      <c r="B24" s="51" t="n"/>
      <c r="C24" s="65" t="n"/>
      <c r="D24" s="65" t="n"/>
      <c r="E24" s="65" t="n"/>
      <c r="F24" s="62" t="n"/>
      <c r="G24" s="51" t="n"/>
      <c r="H24" s="51" t="n"/>
    </row>
    <row r="25">
      <c r="A25" s="80" t="n"/>
      <c r="B25" s="51" t="n"/>
      <c r="C25" s="65" t="n"/>
      <c r="D25" s="65" t="n"/>
      <c r="E25" s="65" t="n"/>
      <c r="F25" s="62" t="n"/>
      <c r="G25" s="51" t="n"/>
      <c r="H25" s="51" t="n"/>
    </row>
    <row r="26">
      <c r="A26" s="80" t="n"/>
      <c r="B26" s="51" t="n"/>
      <c r="C26" s="65" t="n"/>
      <c r="D26" s="65" t="n"/>
      <c r="E26" s="65" t="n"/>
      <c r="F26" s="62" t="n"/>
      <c r="G26" s="51" t="n"/>
      <c r="H26" s="51" t="n"/>
    </row>
    <row r="27">
      <c r="A27" s="80" t="n"/>
      <c r="B27" s="51" t="n"/>
      <c r="C27" s="65" t="n"/>
      <c r="D27" s="65" t="n"/>
      <c r="E27" s="65" t="n"/>
      <c r="F27" s="62" t="n"/>
      <c r="G27" s="51" t="n"/>
      <c r="H27" s="51" t="n"/>
    </row>
    <row r="28">
      <c r="A28" s="80" t="n"/>
      <c r="B28" s="51" t="n"/>
      <c r="C28" s="65" t="n"/>
      <c r="D28" s="65" t="n"/>
      <c r="E28" s="65" t="n"/>
      <c r="F28" s="62" t="n"/>
      <c r="G28" s="51" t="n"/>
      <c r="H28" s="51" t="n"/>
    </row>
    <row r="29">
      <c r="A29" s="80" t="n"/>
      <c r="B29" s="51" t="n"/>
      <c r="C29" s="65" t="n"/>
      <c r="D29" s="65" t="n"/>
      <c r="E29" s="65" t="n"/>
      <c r="F29" s="62" t="n"/>
      <c r="G29" s="51" t="n"/>
      <c r="H29" s="51" t="n"/>
    </row>
    <row r="30">
      <c r="A30" s="80" t="n"/>
      <c r="B30" s="51" t="n"/>
      <c r="C30" s="65" t="n"/>
      <c r="D30" s="65" t="n"/>
      <c r="E30" s="65" t="n"/>
      <c r="F30" s="62" t="n"/>
      <c r="G30" s="51" t="n"/>
      <c r="H30" s="51" t="n"/>
    </row>
    <row r="31">
      <c r="A31" s="80" t="n"/>
      <c r="B31" s="51" t="n"/>
      <c r="C31" s="65" t="n"/>
      <c r="D31" s="65" t="n"/>
      <c r="E31" s="65" t="n"/>
      <c r="F31" s="62" t="n"/>
      <c r="G31" s="51" t="n"/>
      <c r="H31" s="51" t="n"/>
    </row>
    <row r="32">
      <c r="A32" s="80" t="n"/>
      <c r="B32" s="51" t="n"/>
      <c r="C32" s="65" t="n"/>
      <c r="D32" s="65" t="n"/>
      <c r="E32" s="65" t="n"/>
      <c r="F32" s="62" t="n"/>
      <c r="G32" s="51" t="n"/>
      <c r="H32" s="51" t="n"/>
    </row>
    <row r="33">
      <c r="A33" s="80" t="n"/>
      <c r="B33" s="51" t="n"/>
      <c r="C33" s="65" t="n"/>
      <c r="D33" s="65" t="n"/>
      <c r="E33" s="65" t="n"/>
      <c r="F33" s="62" t="n"/>
      <c r="G33" s="51" t="n"/>
      <c r="H33" s="51" t="n"/>
    </row>
    <row r="34">
      <c r="A34" s="80" t="n"/>
      <c r="B34" s="51" t="n"/>
      <c r="C34" s="65" t="n"/>
      <c r="D34" s="65" t="n"/>
      <c r="E34" s="65" t="n"/>
      <c r="F34" s="62" t="n"/>
      <c r="G34" s="51" t="n"/>
      <c r="H34" s="51" t="n"/>
    </row>
    <row r="35">
      <c r="A35" s="80" t="n"/>
      <c r="B35" s="51" t="n"/>
      <c r="C35" s="65" t="n"/>
      <c r="D35" s="65" t="n"/>
      <c r="E35" s="65" t="n"/>
      <c r="F35" s="62" t="n"/>
      <c r="G35" s="51" t="n"/>
      <c r="H35" s="51" t="n"/>
    </row>
    <row r="36">
      <c r="A36" s="80" t="n"/>
      <c r="B36" s="51" t="n"/>
      <c r="C36" s="65" t="n"/>
      <c r="D36" s="65" t="n"/>
      <c r="E36" s="65" t="n"/>
      <c r="F36" s="62" t="n"/>
      <c r="G36" s="51" t="n"/>
      <c r="H36" s="51" t="n"/>
    </row>
    <row r="37">
      <c r="A37" s="80" t="n"/>
      <c r="B37" s="51" t="n"/>
      <c r="C37" s="65" t="n"/>
      <c r="D37" s="65" t="n"/>
      <c r="E37" s="65" t="n"/>
      <c r="F37" s="62" t="n"/>
      <c r="G37" s="51" t="n"/>
      <c r="H37" s="51" t="n"/>
    </row>
    <row r="38">
      <c r="A38" s="80" t="n"/>
      <c r="B38" s="51" t="n"/>
      <c r="C38" s="65" t="n"/>
      <c r="D38" s="65" t="n"/>
      <c r="E38" s="65" t="n"/>
      <c r="F38" s="62" t="n"/>
      <c r="G38" s="51" t="n"/>
      <c r="H38" s="51" t="n"/>
    </row>
    <row r="39">
      <c r="A39" s="80" t="n"/>
      <c r="B39" s="51" t="n"/>
      <c r="C39" s="65" t="n"/>
      <c r="D39" s="65" t="n"/>
      <c r="E39" s="65" t="n"/>
      <c r="F39" s="62" t="n"/>
      <c r="G39" s="51" t="n"/>
      <c r="H39" s="51" t="n"/>
    </row>
    <row r="40">
      <c r="A40" s="80" t="n"/>
      <c r="B40" s="51" t="n"/>
      <c r="C40" s="65" t="n"/>
      <c r="D40" s="65" t="n"/>
      <c r="E40" s="65" t="n"/>
      <c r="F40" s="62" t="n"/>
      <c r="G40" s="51" t="n"/>
      <c r="H40" s="51" t="n"/>
    </row>
    <row r="41">
      <c r="A41" s="80" t="n"/>
      <c r="B41" s="51" t="n"/>
      <c r="C41" s="65" t="n"/>
      <c r="D41" s="65" t="n"/>
      <c r="E41" s="65" t="n"/>
      <c r="F41" s="62" t="n"/>
      <c r="G41" s="51" t="n"/>
      <c r="H41" s="51" t="n"/>
    </row>
    <row r="42">
      <c r="A42" s="80" t="n"/>
      <c r="B42" s="51" t="n"/>
      <c r="C42" s="65" t="n"/>
      <c r="D42" s="65" t="n"/>
      <c r="E42" s="65" t="n"/>
      <c r="F42" s="62" t="n"/>
      <c r="G42" s="51" t="n"/>
      <c r="H42" s="51" t="n"/>
    </row>
    <row r="43">
      <c r="A43" s="80" t="n"/>
      <c r="B43" s="51" t="n"/>
      <c r="C43" s="65" t="n"/>
      <c r="D43" s="65" t="n"/>
      <c r="E43" s="65" t="n"/>
      <c r="F43" s="62" t="n"/>
      <c r="G43" s="51" t="n"/>
      <c r="H43" s="51" t="n"/>
    </row>
    <row r="44">
      <c r="A44" s="80" t="n"/>
      <c r="B44" s="51" t="n"/>
      <c r="C44" s="65" t="n"/>
      <c r="D44" s="65" t="n"/>
      <c r="E44" s="65" t="n"/>
      <c r="F44" s="62" t="n"/>
      <c r="G44" s="51" t="n"/>
      <c r="H44" s="51" t="n"/>
    </row>
    <row r="45">
      <c r="A45" s="80" t="n"/>
      <c r="B45" s="51" t="n"/>
      <c r="C45" s="65" t="n"/>
      <c r="D45" s="65" t="n"/>
      <c r="E45" s="65" t="n"/>
      <c r="F45" s="62" t="n"/>
      <c r="G45" s="51" t="n"/>
      <c r="H45" s="51" t="n"/>
    </row>
    <row r="46">
      <c r="A46" s="80" t="n"/>
      <c r="B46" s="51" t="n"/>
      <c r="C46" s="65" t="n"/>
      <c r="D46" s="65" t="n"/>
      <c r="E46" s="65" t="n"/>
      <c r="F46" s="62" t="n"/>
      <c r="G46" s="51" t="n"/>
      <c r="H46" s="51" t="n"/>
    </row>
    <row r="47">
      <c r="A47" s="80" t="n"/>
      <c r="B47" s="51" t="n"/>
      <c r="C47" s="65" t="n"/>
      <c r="D47" s="65" t="n"/>
      <c r="E47" s="65" t="n"/>
      <c r="F47" s="62" t="n"/>
      <c r="G47" s="51" t="n"/>
      <c r="H47" s="51" t="n"/>
    </row>
    <row r="48">
      <c r="A48" s="80" t="n"/>
      <c r="B48" s="51" t="n"/>
      <c r="C48" s="65" t="n"/>
      <c r="D48" s="65" t="n"/>
      <c r="E48" s="65" t="n"/>
      <c r="F48" s="62" t="n"/>
      <c r="G48" s="51" t="n"/>
      <c r="H48" s="51" t="n"/>
    </row>
    <row r="49">
      <c r="A49" s="80" t="n"/>
      <c r="B49" s="51" t="n"/>
      <c r="C49" s="65" t="n"/>
      <c r="D49" s="65" t="n"/>
      <c r="E49" s="65" t="n"/>
      <c r="F49" s="62" t="n"/>
      <c r="G49" s="51" t="n"/>
      <c r="H49" s="51" t="n"/>
    </row>
    <row r="50">
      <c r="A50" s="80" t="n"/>
      <c r="B50" s="51" t="n"/>
      <c r="C50" s="65" t="n"/>
      <c r="D50" s="65" t="n"/>
      <c r="E50" s="65" t="n"/>
      <c r="F50" s="62" t="n"/>
      <c r="G50" s="51" t="n"/>
      <c r="H50" s="51" t="n"/>
    </row>
    <row r="51">
      <c r="A51" s="80" t="n"/>
      <c r="B51" s="51" t="n"/>
      <c r="C51" s="65" t="n"/>
      <c r="D51" s="65" t="n"/>
      <c r="E51" s="65" t="n"/>
      <c r="F51" s="62" t="n"/>
      <c r="G51" s="51" t="n"/>
      <c r="H51" s="51" t="n"/>
    </row>
    <row r="52">
      <c r="A52" s="80" t="n"/>
      <c r="B52" s="51" t="n"/>
      <c r="C52" s="65" t="n"/>
      <c r="D52" s="65" t="n"/>
      <c r="E52" s="65" t="n"/>
      <c r="F52" s="62" t="n"/>
      <c r="G52" s="51" t="n"/>
      <c r="H52" s="51" t="n"/>
    </row>
    <row r="53">
      <c r="A53" s="80" t="n"/>
      <c r="B53" s="51" t="n"/>
      <c r="C53" s="65" t="n"/>
      <c r="D53" s="65" t="n"/>
      <c r="E53" s="65" t="n"/>
      <c r="F53" s="62" t="n"/>
      <c r="G53" s="51" t="n"/>
      <c r="H53" s="51" t="n"/>
    </row>
    <row r="54">
      <c r="A54" s="80" t="n"/>
      <c r="B54" s="51" t="n"/>
      <c r="C54" s="65" t="n"/>
      <c r="D54" s="65" t="n"/>
      <c r="E54" s="65" t="n"/>
      <c r="F54" s="62" t="n"/>
      <c r="G54" s="51" t="n"/>
      <c r="H54" s="51" t="n"/>
    </row>
    <row r="55">
      <c r="A55" s="80" t="n"/>
      <c r="B55" s="51" t="n"/>
      <c r="C55" s="65" t="n"/>
      <c r="D55" s="65" t="n"/>
      <c r="E55" s="65" t="n"/>
      <c r="F55" s="62" t="n"/>
      <c r="G55" s="51" t="n"/>
      <c r="H55" s="51" t="n"/>
    </row>
    <row r="56">
      <c r="A56" s="80" t="n"/>
      <c r="B56" s="51" t="n"/>
      <c r="C56" s="65" t="n"/>
      <c r="D56" s="65" t="n"/>
      <c r="E56" s="65" t="n"/>
      <c r="F56" s="62" t="n"/>
      <c r="G56" s="51" t="n"/>
      <c r="H56" s="51" t="n"/>
    </row>
    <row r="57">
      <c r="A57" s="80" t="n"/>
      <c r="B57" s="51" t="n"/>
      <c r="C57" s="65" t="n"/>
      <c r="D57" s="65" t="n"/>
      <c r="E57" s="65" t="n"/>
      <c r="F57" s="62" t="n"/>
      <c r="G57" s="51" t="n"/>
      <c r="H57" s="51" t="n"/>
    </row>
    <row r="58">
      <c r="A58" s="80" t="n"/>
      <c r="B58" s="51" t="n"/>
      <c r="C58" s="65" t="n"/>
      <c r="D58" s="65" t="n"/>
      <c r="E58" s="65" t="n"/>
      <c r="F58" s="62" t="n"/>
      <c r="G58" s="51" t="n"/>
      <c r="H58" s="51" t="n"/>
    </row>
    <row r="59">
      <c r="A59" s="80" t="n"/>
      <c r="B59" s="51" t="n"/>
      <c r="C59" s="65" t="n"/>
      <c r="D59" s="65" t="n"/>
      <c r="E59" s="65" t="n"/>
      <c r="F59" s="62" t="n"/>
      <c r="G59" s="51" t="n"/>
      <c r="H59" s="51" t="n"/>
    </row>
    <row r="60">
      <c r="A60" s="80" t="n"/>
      <c r="B60" s="51" t="n"/>
      <c r="C60" s="65" t="n"/>
      <c r="D60" s="65" t="n"/>
      <c r="E60" s="65" t="n"/>
      <c r="F60" s="62" t="n"/>
      <c r="G60" s="51" t="n"/>
      <c r="H60" s="51" t="n"/>
    </row>
    <row r="61">
      <c r="A61" s="80" t="n"/>
      <c r="B61" s="51" t="n"/>
      <c r="C61" s="65" t="n"/>
      <c r="D61" s="65" t="n"/>
      <c r="E61" s="65" t="n"/>
      <c r="F61" s="62" t="n"/>
      <c r="G61" s="51" t="n"/>
      <c r="H61" s="51" t="n"/>
    </row>
    <row r="62">
      <c r="A62" s="80" t="n"/>
      <c r="B62" s="51" t="n"/>
      <c r="C62" s="65" t="n"/>
      <c r="D62" s="65" t="n"/>
      <c r="E62" s="65" t="n"/>
      <c r="F62" s="62" t="n"/>
      <c r="G62" s="51" t="n"/>
      <c r="H62" s="51" t="n"/>
    </row>
    <row r="63">
      <c r="A63" s="80" t="n"/>
      <c r="B63" s="51" t="n"/>
      <c r="C63" s="65" t="n"/>
      <c r="D63" s="65" t="n"/>
      <c r="E63" s="65" t="n"/>
      <c r="F63" s="62" t="n"/>
      <c r="G63" s="51" t="n"/>
      <c r="H63" s="51" t="n"/>
    </row>
    <row r="64">
      <c r="A64" s="80" t="n"/>
      <c r="B64" s="51" t="n"/>
      <c r="C64" s="65" t="n"/>
      <c r="D64" s="65" t="n"/>
      <c r="E64" s="65" t="n"/>
      <c r="F64" s="62" t="n"/>
      <c r="G64" s="51" t="n"/>
      <c r="H64" s="51" t="n"/>
    </row>
    <row r="65">
      <c r="A65" s="80" t="n"/>
      <c r="B65" s="51" t="n"/>
      <c r="C65" s="65" t="n"/>
      <c r="D65" s="65" t="n"/>
      <c r="E65" s="65" t="n"/>
      <c r="F65" s="62" t="n"/>
      <c r="G65" s="51" t="n"/>
      <c r="H65" s="51" t="n"/>
    </row>
    <row r="66">
      <c r="A66" s="80" t="n"/>
      <c r="B66" s="51" t="n"/>
      <c r="C66" s="65" t="n"/>
      <c r="D66" s="65" t="n"/>
      <c r="E66" s="65" t="n"/>
      <c r="F66" s="62" t="n"/>
      <c r="G66" s="51" t="n"/>
      <c r="H66" s="51" t="n"/>
    </row>
    <row r="67">
      <c r="A67" s="80" t="n"/>
      <c r="B67" s="51" t="n"/>
      <c r="C67" s="65" t="n"/>
      <c r="D67" s="65" t="n"/>
      <c r="E67" s="65" t="n"/>
      <c r="F67" s="62" t="n"/>
      <c r="G67" s="51" t="n"/>
      <c r="H67" s="51" t="n"/>
    </row>
    <row r="68">
      <c r="A68" s="80" t="n"/>
      <c r="B68" s="51" t="n"/>
      <c r="C68" s="65" t="n"/>
      <c r="D68" s="65" t="n"/>
      <c r="E68" s="65" t="n"/>
      <c r="F68" s="62" t="n"/>
      <c r="G68" s="51" t="n"/>
      <c r="H68" s="51" t="n"/>
    </row>
    <row r="69">
      <c r="A69" s="80" t="n"/>
      <c r="B69" s="51" t="n"/>
      <c r="C69" s="65" t="n"/>
      <c r="D69" s="65" t="n"/>
      <c r="E69" s="65" t="n"/>
      <c r="F69" s="62" t="n"/>
      <c r="G69" s="51" t="n"/>
      <c r="H69" s="51" t="n"/>
    </row>
    <row r="70">
      <c r="A70" s="80" t="n"/>
      <c r="B70" s="51" t="n"/>
      <c r="C70" s="65" t="n"/>
      <c r="D70" s="65" t="n"/>
      <c r="E70" s="65" t="n"/>
      <c r="F70" s="62" t="n"/>
      <c r="G70" s="51" t="n"/>
      <c r="H70" s="51" t="n"/>
    </row>
    <row r="71">
      <c r="A71" s="80" t="n"/>
      <c r="B71" s="51" t="n"/>
      <c r="C71" s="65" t="n"/>
      <c r="D71" s="65" t="n"/>
      <c r="E71" s="65" t="n"/>
      <c r="F71" s="62" t="n"/>
      <c r="G71" s="51" t="n"/>
      <c r="H71" s="51" t="n"/>
    </row>
    <row r="72">
      <c r="A72" s="80" t="n"/>
      <c r="B72" s="51" t="n"/>
      <c r="C72" s="65" t="n"/>
      <c r="D72" s="65" t="n"/>
      <c r="E72" s="65" t="n"/>
      <c r="F72" s="62" t="n"/>
      <c r="G72" s="51" t="n"/>
      <c r="H72" s="51" t="n"/>
    </row>
    <row r="73">
      <c r="A73" s="80" t="n"/>
      <c r="B73" s="51" t="n"/>
      <c r="C73" s="65" t="n"/>
      <c r="D73" s="65" t="n"/>
      <c r="E73" s="65" t="n"/>
      <c r="F73" s="62" t="n"/>
      <c r="G73" s="51" t="n"/>
      <c r="H73" s="51" t="n"/>
    </row>
    <row r="74">
      <c r="A74" s="80" t="n"/>
      <c r="B74" s="51" t="n"/>
      <c r="C74" s="65" t="n"/>
      <c r="D74" s="65" t="n"/>
      <c r="E74" s="65" t="n"/>
      <c r="F74" s="62" t="n"/>
      <c r="G74" s="51" t="n"/>
      <c r="H74" s="51" t="n"/>
    </row>
    <row r="75">
      <c r="A75" s="80" t="n"/>
      <c r="B75" s="51" t="n"/>
      <c r="C75" s="65" t="n"/>
      <c r="D75" s="65" t="n"/>
      <c r="E75" s="65" t="n"/>
      <c r="F75" s="62" t="n"/>
      <c r="G75" s="51" t="n"/>
      <c r="H75" s="51" t="n"/>
    </row>
    <row r="76">
      <c r="A76" s="80" t="n"/>
      <c r="B76" s="51" t="n"/>
      <c r="C76" s="65" t="n"/>
      <c r="D76" s="65" t="n"/>
      <c r="E76" s="65" t="n"/>
      <c r="F76" s="62" t="n"/>
      <c r="G76" s="51" t="n"/>
      <c r="H76" s="51" t="n"/>
    </row>
    <row r="77">
      <c r="A77" s="80" t="n"/>
      <c r="B77" s="51" t="n"/>
      <c r="C77" s="65" t="n"/>
      <c r="D77" s="65" t="n"/>
      <c r="E77" s="65" t="n"/>
      <c r="F77" s="62" t="n"/>
      <c r="G77" s="51" t="n"/>
      <c r="H77" s="51" t="n"/>
    </row>
    <row r="78">
      <c r="A78" s="80" t="n"/>
      <c r="B78" s="51" t="n"/>
      <c r="C78" s="65" t="n"/>
      <c r="D78" s="65" t="n"/>
      <c r="E78" s="65" t="n"/>
      <c r="F78" s="62" t="n"/>
      <c r="G78" s="51" t="n"/>
      <c r="H78" s="51" t="n"/>
    </row>
    <row r="79">
      <c r="A79" s="80" t="n"/>
      <c r="B79" s="51" t="n"/>
      <c r="C79" s="65" t="n"/>
      <c r="D79" s="65" t="n"/>
      <c r="E79" s="65" t="n"/>
      <c r="F79" s="62" t="n"/>
      <c r="G79" s="51" t="n"/>
      <c r="H79" s="51" t="n"/>
    </row>
    <row r="80">
      <c r="A80" s="80" t="n"/>
      <c r="B80" s="51" t="n"/>
      <c r="C80" s="65" t="n"/>
      <c r="D80" s="65" t="n"/>
      <c r="E80" s="65" t="n"/>
      <c r="F80" s="62" t="n"/>
      <c r="G80" s="51" t="n"/>
      <c r="H80" s="51" t="n"/>
    </row>
    <row r="81">
      <c r="A81" s="80" t="n"/>
      <c r="B81" s="51" t="n"/>
      <c r="C81" s="65" t="n"/>
      <c r="D81" s="65" t="n"/>
      <c r="E81" s="65" t="n"/>
      <c r="F81" s="62" t="n"/>
      <c r="G81" s="51" t="n"/>
      <c r="H81" s="51" t="n"/>
    </row>
    <row r="82">
      <c r="A82" s="80" t="n"/>
      <c r="B82" s="51" t="n"/>
      <c r="C82" s="65" t="n"/>
      <c r="D82" s="65" t="n"/>
      <c r="E82" s="65" t="n"/>
      <c r="F82" s="62" t="n"/>
      <c r="G82" s="51" t="n"/>
      <c r="H82" s="51" t="n"/>
    </row>
    <row r="83">
      <c r="A83" s="80" t="n"/>
      <c r="B83" s="51" t="n"/>
      <c r="C83" s="65" t="n"/>
      <c r="D83" s="65" t="n"/>
      <c r="E83" s="65" t="n"/>
      <c r="F83" s="62" t="n"/>
      <c r="G83" s="51" t="n"/>
      <c r="H83" s="51" t="n"/>
    </row>
    <row r="84">
      <c r="A84" s="80" t="n"/>
      <c r="B84" s="51" t="n"/>
      <c r="C84" s="65" t="n"/>
      <c r="D84" s="65" t="n"/>
      <c r="E84" s="65" t="n"/>
      <c r="F84" s="62" t="n"/>
      <c r="G84" s="51" t="n"/>
      <c r="H84" s="51" t="n"/>
    </row>
    <row r="85">
      <c r="A85" s="80" t="n"/>
      <c r="B85" s="51" t="n"/>
      <c r="C85" s="65" t="n"/>
      <c r="D85" s="65" t="n"/>
      <c r="E85" s="65" t="n"/>
      <c r="F85" s="62" t="n"/>
      <c r="G85" s="51" t="n"/>
      <c r="H85" s="51" t="n"/>
    </row>
    <row r="86">
      <c r="A86" s="80" t="n"/>
      <c r="B86" s="51" t="n"/>
      <c r="C86" s="65" t="n"/>
      <c r="D86" s="65" t="n"/>
      <c r="E86" s="65" t="n"/>
      <c r="F86" s="62" t="n"/>
      <c r="G86" s="51" t="n"/>
      <c r="H86" s="51" t="n"/>
    </row>
    <row r="87">
      <c r="A87" s="80" t="n"/>
      <c r="B87" s="51" t="n"/>
      <c r="C87" s="65" t="n"/>
      <c r="D87" s="65" t="n"/>
      <c r="E87" s="65" t="n"/>
      <c r="F87" s="62" t="n"/>
      <c r="G87" s="51" t="n"/>
      <c r="H87" s="51" t="n"/>
    </row>
    <row r="88">
      <c r="A88" s="80" t="n"/>
      <c r="B88" s="51" t="n"/>
      <c r="C88" s="65" t="n"/>
      <c r="D88" s="65" t="n"/>
      <c r="E88" s="65" t="n"/>
      <c r="F88" s="62" t="n"/>
      <c r="G88" s="51" t="n"/>
      <c r="H88" s="51" t="n"/>
    </row>
    <row r="89">
      <c r="A89" s="80" t="n"/>
      <c r="B89" s="51" t="n"/>
      <c r="C89" s="65" t="n"/>
      <c r="D89" s="65" t="n"/>
      <c r="E89" s="65" t="n"/>
      <c r="F89" s="62" t="n"/>
      <c r="G89" s="51" t="n"/>
      <c r="H89" s="51" t="n"/>
    </row>
    <row r="90">
      <c r="A90" s="80" t="n"/>
      <c r="B90" s="51" t="n"/>
      <c r="C90" s="65" t="n"/>
      <c r="D90" s="65" t="n"/>
      <c r="E90" s="65" t="n"/>
      <c r="F90" s="62" t="n"/>
      <c r="G90" s="51" t="n"/>
      <c r="H90" s="51" t="n"/>
    </row>
    <row r="91">
      <c r="A91" s="80" t="n"/>
      <c r="B91" s="51" t="n"/>
      <c r="C91" s="65" t="n"/>
      <c r="D91" s="65" t="n"/>
      <c r="E91" s="65" t="n"/>
      <c r="F91" s="62" t="n"/>
      <c r="G91" s="51" t="n"/>
      <c r="H91" s="51" t="n"/>
    </row>
    <row r="92">
      <c r="A92" s="80" t="n"/>
      <c r="B92" s="51" t="n"/>
      <c r="C92" s="65" t="n"/>
      <c r="D92" s="65" t="n"/>
      <c r="E92" s="65" t="n"/>
      <c r="F92" s="62" t="n"/>
      <c r="G92" s="51" t="n"/>
      <c r="H92" s="51" t="n"/>
    </row>
    <row r="93">
      <c r="A93" s="80" t="n"/>
      <c r="B93" s="51" t="n"/>
      <c r="C93" s="65" t="n"/>
      <c r="D93" s="65" t="n"/>
      <c r="E93" s="65" t="n"/>
      <c r="F93" s="62" t="n"/>
      <c r="G93" s="51" t="n"/>
      <c r="H93" s="51" t="n"/>
    </row>
    <row r="94">
      <c r="A94" s="80" t="n"/>
      <c r="B94" s="51" t="n"/>
      <c r="C94" s="65" t="n"/>
      <c r="D94" s="65" t="n"/>
      <c r="E94" s="65" t="n"/>
      <c r="F94" s="62" t="n"/>
      <c r="G94" s="51" t="n"/>
      <c r="H94" s="51" t="n"/>
    </row>
    <row r="95">
      <c r="A95" s="80" t="n"/>
      <c r="B95" s="51" t="n"/>
      <c r="C95" s="65" t="n"/>
      <c r="D95" s="65" t="n"/>
      <c r="E95" s="65" t="n"/>
      <c r="F95" s="62" t="n"/>
      <c r="G95" s="51" t="n"/>
      <c r="H95" s="51" t="n"/>
    </row>
    <row r="96">
      <c r="A96" s="80" t="n"/>
      <c r="B96" s="51" t="n"/>
      <c r="C96" s="65" t="n"/>
      <c r="D96" s="65" t="n"/>
      <c r="E96" s="65" t="n"/>
      <c r="F96" s="62" t="n"/>
      <c r="G96" s="51" t="n"/>
      <c r="H96" s="51" t="n"/>
    </row>
    <row r="97">
      <c r="A97" s="80" t="n"/>
      <c r="B97" s="51" t="n"/>
      <c r="C97" s="65" t="n"/>
      <c r="D97" s="65" t="n"/>
      <c r="E97" s="65" t="n"/>
      <c r="F97" s="62" t="n"/>
      <c r="G97" s="51" t="n"/>
      <c r="H97" s="51" t="n"/>
    </row>
    <row r="98">
      <c r="A98" s="80" t="n"/>
      <c r="B98" s="51" t="n"/>
      <c r="C98" s="65" t="n"/>
      <c r="D98" s="65" t="n"/>
      <c r="E98" s="65" t="n"/>
      <c r="F98" s="62" t="n"/>
      <c r="G98" s="51" t="n"/>
      <c r="H98" s="51" t="n"/>
    </row>
    <row r="99">
      <c r="A99" s="80" t="n"/>
      <c r="B99" s="51" t="n"/>
      <c r="C99" s="65" t="n"/>
      <c r="D99" s="65" t="n"/>
      <c r="E99" s="65" t="n"/>
      <c r="F99" s="62" t="n"/>
      <c r="G99" s="51" t="n"/>
      <c r="H99" s="51" t="n"/>
    </row>
    <row r="100">
      <c r="A100" s="80" t="n"/>
      <c r="B100" s="51" t="n"/>
      <c r="C100" s="65" t="n"/>
      <c r="D100" s="65" t="n"/>
      <c r="E100" s="65" t="n"/>
      <c r="F100" s="62" t="n"/>
      <c r="G100" s="51" t="n"/>
      <c r="H100" s="51" t="n"/>
    </row>
    <row r="101">
      <c r="A101" s="80" t="n"/>
      <c r="B101" s="51" t="n"/>
      <c r="C101" s="65" t="n"/>
      <c r="D101" s="65" t="n"/>
      <c r="E101" s="65" t="n"/>
      <c r="F101" s="62" t="n"/>
      <c r="G101" s="51" t="n"/>
      <c r="H101" s="51" t="n"/>
    </row>
    <row r="102">
      <c r="A102" s="80" t="n"/>
      <c r="B102" s="51" t="n"/>
      <c r="C102" s="65" t="n"/>
      <c r="D102" s="65" t="n"/>
      <c r="E102" s="65" t="n"/>
      <c r="F102" s="62" t="n"/>
      <c r="G102" s="51" t="n"/>
      <c r="H102" s="51" t="n"/>
    </row>
    <row r="103">
      <c r="A103" s="80" t="n"/>
      <c r="B103" s="51" t="n"/>
      <c r="C103" s="65" t="n"/>
      <c r="D103" s="65" t="n"/>
      <c r="E103" s="65" t="n"/>
      <c r="F103" s="62" t="n"/>
      <c r="G103" s="51" t="n"/>
      <c r="H103" s="51" t="n"/>
    </row>
    <row r="104">
      <c r="A104" s="80" t="n"/>
      <c r="B104" s="51" t="n"/>
      <c r="C104" s="65" t="n"/>
      <c r="D104" s="65" t="n"/>
      <c r="E104" s="65" t="n"/>
      <c r="F104" s="62" t="n"/>
      <c r="G104" s="51" t="n"/>
      <c r="H104" s="51" t="n"/>
    </row>
    <row r="105">
      <c r="A105" s="80" t="n"/>
      <c r="B105" s="51" t="n"/>
      <c r="C105" s="65" t="n"/>
      <c r="D105" s="65" t="n"/>
      <c r="E105" s="65" t="n"/>
      <c r="F105" s="62" t="n"/>
      <c r="G105" s="51" t="n"/>
      <c r="H105" s="51" t="n"/>
    </row>
    <row r="106">
      <c r="A106" s="80" t="n"/>
      <c r="B106" s="51" t="n"/>
      <c r="C106" s="65" t="n"/>
      <c r="D106" s="65" t="n"/>
      <c r="E106" s="65" t="n"/>
      <c r="F106" s="62" t="n"/>
      <c r="G106" s="51" t="n"/>
      <c r="H106" s="51" t="n"/>
    </row>
    <row r="107">
      <c r="A107" s="80" t="n"/>
      <c r="B107" s="51" t="n"/>
      <c r="C107" s="65" t="n"/>
      <c r="D107" s="65" t="n"/>
      <c r="E107" s="65" t="n"/>
      <c r="F107" s="62" t="n"/>
      <c r="G107" s="51" t="n"/>
      <c r="H107" s="51" t="n"/>
    </row>
    <row r="108">
      <c r="A108" s="80" t="n"/>
      <c r="B108" s="51" t="n"/>
      <c r="C108" s="65" t="n"/>
      <c r="D108" s="65" t="n"/>
      <c r="E108" s="65" t="n"/>
      <c r="F108" s="62" t="n"/>
      <c r="G108" s="51" t="n"/>
      <c r="H108" s="51" t="n"/>
    </row>
    <row r="109">
      <c r="A109" s="80" t="n"/>
      <c r="B109" s="51" t="n"/>
      <c r="C109" s="65" t="n"/>
      <c r="D109" s="65" t="n"/>
      <c r="E109" s="65" t="n"/>
      <c r="F109" s="62" t="n"/>
      <c r="G109" s="51" t="n"/>
      <c r="H109" s="51" t="n"/>
    </row>
    <row r="110">
      <c r="A110" s="80" t="n"/>
      <c r="B110" s="51" t="n"/>
      <c r="C110" s="65" t="n"/>
      <c r="D110" s="65" t="n"/>
      <c r="E110" s="65" t="n"/>
      <c r="F110" s="62" t="n"/>
      <c r="G110" s="51" t="n"/>
      <c r="H110" s="51" t="n"/>
    </row>
    <row r="111">
      <c r="A111" s="80" t="n"/>
      <c r="B111" s="51" t="n"/>
      <c r="C111" s="65" t="n"/>
      <c r="D111" s="65" t="n"/>
      <c r="E111" s="65" t="n"/>
      <c r="F111" s="62" t="n"/>
      <c r="G111" s="51" t="n"/>
      <c r="H111" s="51" t="n"/>
    </row>
    <row r="112">
      <c r="A112" s="80" t="n"/>
      <c r="B112" s="51" t="n"/>
      <c r="C112" s="65" t="n"/>
      <c r="D112" s="65" t="n"/>
      <c r="E112" s="65" t="n"/>
      <c r="F112" s="62" t="n"/>
      <c r="G112" s="51" t="n"/>
      <c r="H112" s="51" t="n"/>
    </row>
    <row r="113">
      <c r="A113" s="80" t="n"/>
      <c r="B113" s="51" t="n"/>
      <c r="C113" s="65" t="n"/>
      <c r="D113" s="65" t="n"/>
      <c r="E113" s="65" t="n"/>
      <c r="F113" s="62" t="n"/>
      <c r="G113" s="51" t="n"/>
      <c r="H113" s="51" t="n"/>
    </row>
    <row r="114">
      <c r="A114" s="80" t="n"/>
      <c r="B114" s="51" t="n"/>
      <c r="C114" s="65" t="n"/>
      <c r="D114" s="65" t="n"/>
      <c r="E114" s="65" t="n"/>
      <c r="F114" s="62" t="n"/>
      <c r="G114" s="51" t="n"/>
      <c r="H114" s="51" t="n"/>
    </row>
    <row r="115">
      <c r="A115" s="80" t="n"/>
      <c r="B115" s="51" t="n"/>
      <c r="C115" s="65" t="n"/>
      <c r="D115" s="65" t="n"/>
      <c r="E115" s="65" t="n"/>
      <c r="F115" s="62" t="n"/>
      <c r="G115" s="51" t="n"/>
      <c r="H115" s="51" t="n"/>
    </row>
    <row r="116">
      <c r="A116" s="80" t="n"/>
      <c r="B116" s="51" t="n"/>
      <c r="C116" s="65" t="n"/>
      <c r="D116" s="65" t="n"/>
      <c r="E116" s="65" t="n"/>
      <c r="F116" s="62" t="n"/>
      <c r="G116" s="51" t="n"/>
      <c r="H116" s="51" t="n"/>
    </row>
    <row r="117">
      <c r="A117" s="80" t="n"/>
      <c r="B117" s="51" t="n"/>
      <c r="C117" s="65" t="n"/>
      <c r="D117" s="65" t="n"/>
      <c r="E117" s="65" t="n"/>
      <c r="F117" s="62" t="n"/>
      <c r="G117" s="51" t="n"/>
      <c r="H117" s="51" t="n"/>
    </row>
    <row r="118">
      <c r="A118" s="80" t="n"/>
      <c r="B118" s="51" t="n"/>
      <c r="C118" s="65" t="n"/>
      <c r="D118" s="65" t="n"/>
      <c r="E118" s="65" t="n"/>
      <c r="F118" s="62" t="n"/>
      <c r="G118" s="51" t="n"/>
      <c r="H118" s="51" t="n"/>
    </row>
    <row r="119">
      <c r="A119" s="80" t="n"/>
      <c r="B119" s="51" t="n"/>
      <c r="C119" s="65" t="n"/>
      <c r="D119" s="65" t="n"/>
      <c r="E119" s="65" t="n"/>
      <c r="F119" s="62" t="n"/>
      <c r="G119" s="51" t="n"/>
      <c r="H119" s="51" t="n"/>
    </row>
    <row r="120">
      <c r="A120" s="80" t="n"/>
      <c r="B120" s="51" t="n"/>
      <c r="C120" s="65" t="n"/>
      <c r="D120" s="65" t="n"/>
      <c r="E120" s="65" t="n"/>
      <c r="F120" s="62" t="n"/>
      <c r="G120" s="51" t="n"/>
      <c r="H120" s="51" t="n"/>
    </row>
    <row r="121">
      <c r="A121" s="80" t="n"/>
      <c r="B121" s="51" t="n"/>
      <c r="C121" s="65" t="n"/>
      <c r="D121" s="65" t="n"/>
      <c r="E121" s="65" t="n"/>
      <c r="F121" s="62" t="n"/>
      <c r="G121" s="51" t="n"/>
      <c r="H121" s="51" t="n"/>
    </row>
    <row r="122">
      <c r="A122" s="80" t="n"/>
      <c r="B122" s="51" t="n"/>
      <c r="C122" s="65" t="n"/>
      <c r="D122" s="65" t="n"/>
      <c r="E122" s="65" t="n"/>
      <c r="F122" s="62" t="n"/>
      <c r="G122" s="51" t="n"/>
      <c r="H122" s="51" t="n"/>
    </row>
    <row r="123">
      <c r="A123" s="80" t="n"/>
      <c r="B123" s="51" t="n"/>
      <c r="C123" s="65" t="n"/>
      <c r="D123" s="65" t="n"/>
      <c r="E123" s="65" t="n"/>
      <c r="F123" s="62" t="n"/>
      <c r="G123" s="51" t="n"/>
      <c r="H123" s="51" t="n"/>
    </row>
    <row r="124">
      <c r="A124" s="80" t="n"/>
      <c r="B124" s="51" t="n"/>
      <c r="C124" s="65" t="n"/>
      <c r="D124" s="65" t="n"/>
      <c r="E124" s="65" t="n"/>
      <c r="F124" s="62" t="n"/>
      <c r="G124" s="51" t="n"/>
      <c r="H124" s="51" t="n"/>
    </row>
    <row r="125">
      <c r="A125" s="80" t="n"/>
      <c r="B125" s="51" t="n"/>
      <c r="C125" s="65" t="n"/>
      <c r="D125" s="65" t="n"/>
      <c r="E125" s="65" t="n"/>
      <c r="F125" s="62" t="n"/>
      <c r="G125" s="51" t="n"/>
      <c r="H125" s="51" t="n"/>
    </row>
    <row r="126">
      <c r="A126" s="80" t="n"/>
      <c r="B126" s="51" t="n"/>
      <c r="C126" s="65" t="n"/>
      <c r="D126" s="65" t="n"/>
      <c r="E126" s="65" t="n"/>
      <c r="F126" s="62" t="n"/>
      <c r="G126" s="51" t="n"/>
      <c r="H126" s="51" t="n"/>
    </row>
    <row r="127">
      <c r="A127" s="80" t="n"/>
      <c r="B127" s="51" t="n"/>
      <c r="C127" s="65" t="n"/>
      <c r="D127" s="65" t="n"/>
      <c r="E127" s="65" t="n"/>
      <c r="F127" s="62" t="n"/>
      <c r="G127" s="51" t="n"/>
      <c r="H127" s="51" t="n"/>
    </row>
    <row r="128">
      <c r="A128" s="80" t="n"/>
      <c r="B128" s="51" t="n"/>
      <c r="C128" s="65" t="n"/>
      <c r="D128" s="65" t="n"/>
      <c r="E128" s="65" t="n"/>
      <c r="F128" s="62" t="n"/>
      <c r="G128" s="51" t="n"/>
      <c r="H128" s="51" t="n"/>
    </row>
    <row r="129">
      <c r="A129" s="80" t="n"/>
      <c r="B129" s="51" t="n"/>
      <c r="C129" s="65" t="n"/>
      <c r="D129" s="65" t="n"/>
      <c r="E129" s="65" t="n"/>
      <c r="F129" s="62" t="n"/>
      <c r="G129" s="51" t="n"/>
      <c r="H129" s="51" t="n"/>
    </row>
    <row r="130">
      <c r="A130" s="80" t="n"/>
      <c r="B130" s="51" t="n"/>
      <c r="C130" s="65" t="n"/>
      <c r="D130" s="65" t="n"/>
      <c r="E130" s="65" t="n"/>
      <c r="F130" s="62" t="n"/>
      <c r="G130" s="51" t="n"/>
      <c r="H130" s="51" t="n"/>
    </row>
    <row r="131">
      <c r="A131" s="80" t="n"/>
      <c r="B131" s="51" t="n"/>
      <c r="C131" s="65" t="n"/>
      <c r="D131" s="65" t="n"/>
      <c r="E131" s="65" t="n"/>
      <c r="F131" s="62" t="n"/>
      <c r="G131" s="51" t="n"/>
      <c r="H131" s="51" t="n"/>
    </row>
    <row r="132">
      <c r="A132" s="80" t="n"/>
      <c r="B132" s="51" t="n"/>
      <c r="C132" s="65" t="n"/>
      <c r="D132" s="65" t="n"/>
      <c r="E132" s="65" t="n"/>
      <c r="F132" s="62" t="n"/>
      <c r="G132" s="51" t="n"/>
      <c r="H132" s="51" t="n"/>
    </row>
    <row r="133">
      <c r="A133" s="80" t="n"/>
      <c r="B133" s="51" t="n"/>
      <c r="C133" s="65" t="n"/>
      <c r="D133" s="65" t="n"/>
      <c r="E133" s="65" t="n"/>
      <c r="F133" s="62" t="n"/>
      <c r="G133" s="51" t="n"/>
      <c r="H133" s="51" t="n"/>
    </row>
    <row r="134">
      <c r="A134" s="80" t="n"/>
      <c r="B134" s="51" t="n"/>
      <c r="C134" s="65" t="n"/>
      <c r="D134" s="65" t="n"/>
      <c r="E134" s="65" t="n"/>
      <c r="F134" s="62" t="n"/>
      <c r="G134" s="51" t="n"/>
      <c r="H134" s="51" t="n"/>
    </row>
    <row r="135">
      <c r="A135" s="80" t="n"/>
      <c r="B135" s="51" t="n"/>
      <c r="C135" s="65" t="n"/>
      <c r="D135" s="65" t="n"/>
      <c r="E135" s="65" t="n"/>
      <c r="F135" s="62" t="n"/>
      <c r="G135" s="51" t="n"/>
      <c r="H135" s="51" t="n"/>
    </row>
    <row r="136">
      <c r="A136" s="80" t="n"/>
      <c r="B136" s="51" t="n"/>
      <c r="C136" s="65" t="n"/>
      <c r="D136" s="65" t="n"/>
      <c r="E136" s="65" t="n"/>
      <c r="F136" s="62" t="n"/>
      <c r="G136" s="51" t="n"/>
      <c r="H136" s="51" t="n"/>
    </row>
    <row r="137">
      <c r="A137" s="80" t="n"/>
      <c r="B137" s="51" t="n"/>
      <c r="C137" s="65" t="n"/>
      <c r="D137" s="65" t="n"/>
      <c r="E137" s="65" t="n"/>
      <c r="F137" s="62" t="n"/>
      <c r="G137" s="51" t="n"/>
      <c r="H137" s="51" t="n"/>
    </row>
    <row r="138">
      <c r="A138" s="80" t="n"/>
      <c r="B138" s="51" t="n"/>
      <c r="C138" s="65" t="n"/>
      <c r="D138" s="65" t="n"/>
      <c r="E138" s="65" t="n"/>
      <c r="F138" s="62" t="n"/>
      <c r="G138" s="51" t="n"/>
      <c r="H138" s="51" t="n"/>
    </row>
    <row r="139">
      <c r="A139" s="80" t="n"/>
      <c r="B139" s="51" t="n"/>
      <c r="C139" s="65" t="n"/>
      <c r="D139" s="65" t="n"/>
      <c r="E139" s="65" t="n"/>
      <c r="F139" s="62" t="n"/>
      <c r="G139" s="51" t="n"/>
      <c r="H139" s="51" t="n"/>
    </row>
    <row r="140">
      <c r="A140" s="80" t="n"/>
      <c r="B140" s="51" t="n"/>
      <c r="C140" s="65" t="n"/>
      <c r="D140" s="65" t="n"/>
      <c r="E140" s="65" t="n"/>
      <c r="F140" s="62" t="n"/>
      <c r="G140" s="51" t="n"/>
      <c r="H140" s="51" t="n"/>
    </row>
    <row r="141">
      <c r="A141" s="80" t="n"/>
      <c r="B141" s="51" t="n"/>
      <c r="C141" s="65" t="n"/>
      <c r="D141" s="65" t="n"/>
      <c r="E141" s="65" t="n"/>
      <c r="F141" s="62" t="n"/>
      <c r="G141" s="51" t="n"/>
      <c r="H141" s="51" t="n"/>
    </row>
    <row r="142">
      <c r="A142" s="80" t="n"/>
      <c r="B142" s="51" t="n"/>
      <c r="C142" s="65" t="n"/>
      <c r="D142" s="65" t="n"/>
      <c r="E142" s="65" t="n"/>
      <c r="F142" s="62" t="n"/>
      <c r="G142" s="51" t="n"/>
      <c r="H142" s="51" t="n"/>
    </row>
    <row r="143">
      <c r="A143" s="80" t="n"/>
      <c r="B143" s="51" t="n"/>
      <c r="C143" s="65" t="n"/>
      <c r="D143" s="65" t="n"/>
      <c r="E143" s="65" t="n"/>
      <c r="F143" s="62" t="n"/>
      <c r="G143" s="51" t="n"/>
      <c r="H143" s="51" t="n"/>
    </row>
    <row r="144">
      <c r="A144" s="80" t="n"/>
      <c r="B144" s="51" t="n"/>
      <c r="C144" s="65" t="n"/>
      <c r="D144" s="65" t="n"/>
      <c r="E144" s="65" t="n"/>
      <c r="F144" s="62" t="n"/>
      <c r="G144" s="51" t="n"/>
      <c r="H144" s="51" t="n"/>
    </row>
    <row r="145">
      <c r="A145" s="80" t="n"/>
      <c r="B145" s="51" t="n"/>
      <c r="C145" s="65" t="n"/>
      <c r="D145" s="65" t="n"/>
      <c r="E145" s="65" t="n"/>
      <c r="F145" s="62" t="n"/>
      <c r="G145" s="51" t="n"/>
      <c r="H145" s="51" t="n"/>
    </row>
    <row r="146">
      <c r="A146" s="80" t="n"/>
      <c r="B146" s="51" t="n"/>
      <c r="C146" s="65" t="n"/>
      <c r="D146" s="65" t="n"/>
      <c r="E146" s="65" t="n"/>
      <c r="F146" s="62" t="n"/>
      <c r="G146" s="51" t="n"/>
      <c r="H146" s="51" t="n"/>
    </row>
    <row r="147">
      <c r="A147" s="80" t="n"/>
      <c r="B147" s="51" t="n"/>
      <c r="C147" s="65" t="n"/>
      <c r="D147" s="65" t="n"/>
      <c r="E147" s="65" t="n"/>
      <c r="F147" s="62" t="n"/>
      <c r="G147" s="51" t="n"/>
      <c r="H147" s="51" t="n"/>
    </row>
    <row r="148">
      <c r="A148" s="80" t="n"/>
      <c r="B148" s="51" t="n"/>
      <c r="C148" s="65" t="n"/>
      <c r="D148" s="65" t="n"/>
      <c r="E148" s="65" t="n"/>
      <c r="F148" s="62" t="n"/>
      <c r="G148" s="51" t="n"/>
      <c r="H148" s="51" t="n"/>
    </row>
    <row r="149">
      <c r="A149" s="80" t="n"/>
      <c r="B149" s="51" t="n"/>
      <c r="C149" s="65" t="n"/>
      <c r="D149" s="65" t="n"/>
      <c r="E149" s="65" t="n"/>
      <c r="F149" s="62" t="n"/>
      <c r="G149" s="51" t="n"/>
      <c r="H149" s="51" t="n"/>
    </row>
    <row r="150">
      <c r="A150" s="80" t="n"/>
      <c r="B150" s="51" t="n"/>
      <c r="C150" s="65" t="n"/>
      <c r="D150" s="65" t="n"/>
      <c r="E150" s="65" t="n"/>
      <c r="F150" s="62" t="n"/>
      <c r="G150" s="51" t="n"/>
      <c r="H150" s="51" t="n"/>
    </row>
    <row r="151">
      <c r="A151" s="80" t="n"/>
      <c r="B151" s="51" t="n"/>
      <c r="C151" s="65" t="n"/>
      <c r="D151" s="65" t="n"/>
      <c r="E151" s="65" t="n"/>
      <c r="F151" s="62" t="n"/>
      <c r="G151" s="51" t="n"/>
      <c r="H151" s="51" t="n"/>
    </row>
    <row r="152">
      <c r="A152" s="80" t="n"/>
      <c r="B152" s="51" t="n"/>
      <c r="C152" s="65" t="n"/>
      <c r="D152" s="65" t="n"/>
      <c r="E152" s="65" t="n"/>
      <c r="F152" s="62" t="n"/>
      <c r="G152" s="51" t="n"/>
      <c r="H152" s="51" t="n"/>
    </row>
    <row r="153">
      <c r="A153" s="80" t="n"/>
      <c r="B153" s="51" t="n"/>
      <c r="C153" s="65" t="n"/>
      <c r="D153" s="65" t="n"/>
      <c r="E153" s="65" t="n"/>
      <c r="F153" s="62" t="n"/>
      <c r="G153" s="51" t="n"/>
      <c r="H153" s="51" t="n"/>
    </row>
    <row r="154">
      <c r="A154" s="80" t="n"/>
      <c r="B154" s="51" t="n"/>
      <c r="C154" s="65" t="n"/>
      <c r="D154" s="65" t="n"/>
      <c r="E154" s="65" t="n"/>
      <c r="F154" s="62" t="n"/>
      <c r="G154" s="51" t="n"/>
      <c r="H154" s="51" t="n"/>
    </row>
    <row r="155">
      <c r="A155" s="80" t="n"/>
      <c r="B155" s="51" t="n"/>
      <c r="C155" s="65" t="n"/>
      <c r="D155" s="65" t="n"/>
      <c r="E155" s="65" t="n"/>
      <c r="F155" s="62" t="n"/>
      <c r="G155" s="51" t="n"/>
      <c r="H155" s="51" t="n"/>
    </row>
    <row r="156">
      <c r="A156" s="80" t="n"/>
      <c r="B156" s="51" t="n"/>
      <c r="C156" s="65" t="n"/>
      <c r="D156" s="65" t="n"/>
      <c r="E156" s="65" t="n"/>
      <c r="F156" s="62" t="n"/>
      <c r="G156" s="51" t="n"/>
      <c r="H156" s="51" t="n"/>
    </row>
    <row r="157">
      <c r="A157" s="80" t="n"/>
      <c r="B157" s="51" t="n"/>
      <c r="C157" s="65" t="n"/>
      <c r="D157" s="65" t="n"/>
      <c r="E157" s="65" t="n"/>
      <c r="F157" s="62" t="n"/>
      <c r="G157" s="51" t="n"/>
      <c r="H157" s="51" t="n"/>
    </row>
    <row r="158">
      <c r="A158" s="80" t="n"/>
      <c r="B158" s="51" t="n"/>
      <c r="C158" s="65" t="n"/>
      <c r="D158" s="65" t="n"/>
      <c r="E158" s="65" t="n"/>
      <c r="F158" s="62" t="n"/>
      <c r="G158" s="51" t="n"/>
      <c r="H158" s="51" t="n"/>
    </row>
    <row r="159">
      <c r="A159" s="80" t="n"/>
      <c r="B159" s="51" t="n"/>
      <c r="C159" s="65" t="n"/>
      <c r="D159" s="65" t="n"/>
      <c r="E159" s="65" t="n"/>
      <c r="F159" s="62" t="n"/>
      <c r="G159" s="51" t="n"/>
      <c r="H159" s="51" t="n"/>
    </row>
    <row r="160">
      <c r="A160" s="80" t="n"/>
      <c r="B160" s="51" t="n"/>
      <c r="C160" s="65" t="n"/>
      <c r="D160" s="65" t="n"/>
      <c r="E160" s="65" t="n"/>
      <c r="F160" s="62" t="n"/>
      <c r="G160" s="51" t="n"/>
      <c r="H160" s="51" t="n"/>
    </row>
    <row r="161">
      <c r="A161" s="80" t="n"/>
      <c r="B161" s="51" t="n"/>
      <c r="C161" s="65" t="n"/>
      <c r="D161" s="65" t="n"/>
      <c r="E161" s="65" t="n"/>
      <c r="F161" s="62" t="n"/>
      <c r="G161" s="51" t="n"/>
      <c r="H161" s="51" t="n"/>
    </row>
    <row r="162">
      <c r="A162" s="80" t="n"/>
      <c r="B162" s="51" t="n"/>
      <c r="C162" s="65" t="n"/>
      <c r="D162" s="65" t="n"/>
      <c r="E162" s="65" t="n"/>
      <c r="F162" s="62" t="n"/>
      <c r="G162" s="51" t="n"/>
      <c r="H162" s="51" t="n"/>
    </row>
    <row r="163">
      <c r="A163" s="80" t="n"/>
      <c r="B163" s="51" t="n"/>
      <c r="C163" s="65" t="n"/>
      <c r="D163" s="65" t="n"/>
      <c r="E163" s="65" t="n"/>
      <c r="F163" s="62" t="n"/>
      <c r="G163" s="51" t="n"/>
      <c r="H163" s="51" t="n"/>
    </row>
    <row r="164">
      <c r="A164" s="80" t="n"/>
      <c r="B164" s="51" t="n"/>
      <c r="C164" s="65" t="n"/>
      <c r="D164" s="65" t="n"/>
      <c r="E164" s="65" t="n"/>
      <c r="F164" s="62" t="n"/>
      <c r="G164" s="51" t="n"/>
      <c r="H164" s="51" t="n"/>
    </row>
    <row r="165">
      <c r="A165" s="80" t="n"/>
      <c r="B165" s="51" t="n"/>
      <c r="C165" s="65" t="n"/>
      <c r="D165" s="65" t="n"/>
      <c r="E165" s="65" t="n"/>
      <c r="F165" s="62" t="n"/>
      <c r="G165" s="51" t="n"/>
      <c r="H165" s="51" t="n"/>
    </row>
    <row r="166">
      <c r="A166" s="80" t="n"/>
      <c r="B166" s="51" t="n"/>
      <c r="C166" s="65" t="n"/>
      <c r="D166" s="65" t="n"/>
      <c r="E166" s="65" t="n"/>
      <c r="F166" s="62" t="n"/>
      <c r="G166" s="51" t="n"/>
      <c r="H166" s="51" t="n"/>
    </row>
    <row r="167">
      <c r="A167" s="80" t="n"/>
      <c r="B167" s="51" t="n"/>
      <c r="C167" s="65" t="n"/>
      <c r="D167" s="65" t="n"/>
      <c r="E167" s="65" t="n"/>
      <c r="F167" s="62" t="n"/>
      <c r="G167" s="51" t="n"/>
      <c r="H167" s="51" t="n"/>
    </row>
    <row r="168">
      <c r="A168" s="80" t="n"/>
      <c r="B168" s="51" t="n"/>
      <c r="C168" s="65" t="n"/>
      <c r="D168" s="65" t="n"/>
      <c r="E168" s="65" t="n"/>
      <c r="F168" s="62" t="n"/>
      <c r="G168" s="51" t="n"/>
      <c r="H168" s="51" t="n"/>
    </row>
    <row r="169">
      <c r="A169" s="80" t="n"/>
      <c r="B169" s="51" t="n"/>
      <c r="C169" s="65" t="n"/>
      <c r="D169" s="65" t="n"/>
      <c r="E169" s="65" t="n"/>
      <c r="F169" s="62" t="n"/>
      <c r="G169" s="51" t="n"/>
      <c r="H169" s="51" t="n"/>
    </row>
    <row r="170">
      <c r="A170" s="80" t="n"/>
      <c r="B170" s="51" t="n"/>
      <c r="C170" s="65" t="n"/>
      <c r="D170" s="65" t="n"/>
      <c r="E170" s="65" t="n"/>
      <c r="F170" s="62" t="n"/>
      <c r="G170" s="51" t="n"/>
      <c r="H170" s="51" t="n"/>
    </row>
    <row r="171">
      <c r="A171" s="80" t="n"/>
      <c r="B171" s="51" t="n"/>
      <c r="C171" s="65" t="n"/>
      <c r="D171" s="65" t="n"/>
      <c r="E171" s="65" t="n"/>
      <c r="F171" s="62" t="n"/>
      <c r="G171" s="51" t="n"/>
      <c r="H171" s="51" t="n"/>
    </row>
    <row r="172">
      <c r="A172" s="80" t="n"/>
      <c r="B172" s="51" t="n"/>
      <c r="C172" s="65" t="n"/>
      <c r="D172" s="65" t="n"/>
      <c r="E172" s="65" t="n"/>
      <c r="F172" s="62" t="n"/>
      <c r="G172" s="51" t="n"/>
      <c r="H172" s="51" t="n"/>
    </row>
    <row r="173">
      <c r="A173" s="80" t="n"/>
      <c r="B173" s="51" t="n"/>
      <c r="C173" s="65" t="n"/>
      <c r="D173" s="65" t="n"/>
      <c r="E173" s="65" t="n"/>
      <c r="F173" s="62" t="n"/>
      <c r="G173" s="51" t="n"/>
      <c r="H173" s="51" t="n"/>
    </row>
    <row r="174">
      <c r="A174" s="80" t="n"/>
      <c r="B174" s="51" t="n"/>
      <c r="C174" s="65" t="n"/>
      <c r="D174" s="65" t="n"/>
      <c r="E174" s="65" t="n"/>
      <c r="F174" s="62" t="n"/>
      <c r="G174" s="51" t="n"/>
      <c r="H174" s="51" t="n"/>
    </row>
    <row r="175">
      <c r="A175" s="80" t="n"/>
      <c r="B175" s="51" t="n"/>
      <c r="C175" s="65" t="n"/>
      <c r="D175" s="65" t="n"/>
      <c r="E175" s="65" t="n"/>
      <c r="F175" s="62" t="n"/>
      <c r="G175" s="51" t="n"/>
      <c r="H175" s="51" t="n"/>
    </row>
    <row r="176">
      <c r="A176" s="80" t="n"/>
      <c r="B176" s="51" t="n"/>
      <c r="C176" s="65" t="n"/>
      <c r="D176" s="65" t="n"/>
      <c r="E176" s="65" t="n"/>
      <c r="F176" s="62" t="n"/>
      <c r="G176" s="51" t="n"/>
      <c r="H176" s="51" t="n"/>
    </row>
    <row r="177">
      <c r="A177" s="80" t="n"/>
      <c r="B177" s="51" t="n"/>
      <c r="C177" s="65" t="n"/>
      <c r="D177" s="65" t="n"/>
      <c r="E177" s="65" t="n"/>
      <c r="F177" s="62" t="n"/>
      <c r="G177" s="51" t="n"/>
      <c r="H177" s="51" t="n"/>
    </row>
    <row r="178">
      <c r="A178" s="80" t="n"/>
      <c r="B178" s="51" t="n"/>
      <c r="C178" s="65" t="n"/>
      <c r="D178" s="65" t="n"/>
      <c r="E178" s="65" t="n"/>
      <c r="F178" s="62" t="n"/>
      <c r="G178" s="51" t="n"/>
      <c r="H178" s="51" t="n"/>
    </row>
    <row r="179">
      <c r="A179" s="80" t="n"/>
      <c r="B179" s="51" t="n"/>
      <c r="C179" s="65" t="n"/>
      <c r="D179" s="65" t="n"/>
      <c r="E179" s="65" t="n"/>
      <c r="F179" s="62" t="n"/>
      <c r="G179" s="51" t="n"/>
      <c r="H179" s="51" t="n"/>
    </row>
    <row r="180">
      <c r="A180" s="80" t="n"/>
      <c r="B180" s="51" t="n"/>
      <c r="C180" s="65" t="n"/>
      <c r="D180" s="65" t="n"/>
      <c r="E180" s="65" t="n"/>
      <c r="F180" s="62" t="n"/>
      <c r="G180" s="51" t="n"/>
      <c r="H180" s="51" t="n"/>
    </row>
    <row r="181">
      <c r="A181" s="80" t="n"/>
      <c r="B181" s="51" t="n"/>
      <c r="C181" s="65" t="n"/>
      <c r="D181" s="65" t="n"/>
      <c r="E181" s="65" t="n"/>
      <c r="F181" s="62" t="n"/>
      <c r="G181" s="51" t="n"/>
      <c r="H181" s="51" t="n"/>
    </row>
    <row r="182">
      <c r="A182" s="80" t="n"/>
      <c r="B182" s="51" t="n"/>
      <c r="C182" s="65" t="n"/>
      <c r="D182" s="65" t="n"/>
      <c r="E182" s="65" t="n"/>
      <c r="F182" s="62" t="n"/>
      <c r="G182" s="51" t="n"/>
      <c r="H182" s="51" t="n"/>
    </row>
    <row r="183">
      <c r="A183" s="80" t="n"/>
      <c r="B183" s="51" t="n"/>
      <c r="C183" s="65" t="n"/>
      <c r="D183" s="65" t="n"/>
      <c r="E183" s="65" t="n"/>
      <c r="F183" s="62" t="n"/>
      <c r="G183" s="51" t="n"/>
      <c r="H183" s="51" t="n"/>
    </row>
    <row r="184">
      <c r="A184" s="80" t="n"/>
      <c r="B184" s="51" t="n"/>
      <c r="C184" s="65" t="n"/>
      <c r="D184" s="65" t="n"/>
      <c r="E184" s="65" t="n"/>
      <c r="F184" s="62" t="n"/>
      <c r="G184" s="51" t="n"/>
      <c r="H184" s="51" t="n"/>
    </row>
    <row r="185">
      <c r="A185" s="80" t="n"/>
      <c r="B185" s="51" t="n"/>
      <c r="C185" s="65" t="n"/>
      <c r="D185" s="65" t="n"/>
      <c r="E185" s="65" t="n"/>
      <c r="F185" s="62" t="n"/>
      <c r="G185" s="51" t="n"/>
      <c r="H185" s="51" t="n"/>
    </row>
    <row r="186">
      <c r="A186" s="80" t="n"/>
      <c r="B186" s="51" t="n"/>
      <c r="C186" s="65" t="n"/>
      <c r="D186" s="65" t="n"/>
      <c r="E186" s="65" t="n"/>
      <c r="F186" s="62" t="n"/>
      <c r="G186" s="51" t="n"/>
      <c r="H186" s="51" t="n"/>
    </row>
    <row r="187">
      <c r="A187" s="80" t="n"/>
      <c r="B187" s="51" t="n"/>
      <c r="C187" s="65" t="n"/>
      <c r="D187" s="65" t="n"/>
      <c r="E187" s="65" t="n"/>
      <c r="F187" s="62" t="n"/>
      <c r="G187" s="51" t="n"/>
      <c r="H187" s="51" t="n"/>
    </row>
    <row r="188">
      <c r="A188" s="80" t="n"/>
      <c r="B188" s="51" t="n"/>
      <c r="C188" s="65" t="n"/>
      <c r="D188" s="65" t="n"/>
      <c r="E188" s="65" t="n"/>
      <c r="F188" s="62" t="n"/>
      <c r="G188" s="51" t="n"/>
      <c r="H188" s="51" t="n"/>
    </row>
    <row r="189">
      <c r="A189" s="80" t="n"/>
      <c r="B189" s="51" t="n"/>
      <c r="C189" s="65" t="n"/>
      <c r="D189" s="65" t="n"/>
      <c r="E189" s="65" t="n"/>
      <c r="F189" s="62" t="n"/>
      <c r="G189" s="51" t="n"/>
      <c r="H189" s="51" t="n"/>
    </row>
    <row r="190">
      <c r="A190" s="80" t="n"/>
      <c r="B190" s="51" t="n"/>
      <c r="C190" s="65" t="n"/>
      <c r="D190" s="65" t="n"/>
      <c r="E190" s="65" t="n"/>
      <c r="F190" s="62" t="n"/>
      <c r="G190" s="51" t="n"/>
      <c r="H190" s="51" t="n"/>
    </row>
    <row r="191">
      <c r="A191" s="80" t="n"/>
      <c r="B191" s="51" t="n"/>
      <c r="C191" s="65" t="n"/>
      <c r="D191" s="65" t="n"/>
      <c r="E191" s="65" t="n"/>
      <c r="F191" s="62" t="n"/>
      <c r="G191" s="51" t="n"/>
      <c r="H191" s="51" t="n"/>
    </row>
    <row r="192">
      <c r="A192" s="80" t="n"/>
      <c r="B192" s="51" t="n"/>
      <c r="C192" s="65" t="n"/>
      <c r="D192" s="65" t="n"/>
      <c r="E192" s="65" t="n"/>
      <c r="F192" s="62" t="n"/>
      <c r="G192" s="51" t="n"/>
      <c r="H192" s="51" t="n"/>
    </row>
    <row r="193">
      <c r="A193" s="80" t="n"/>
      <c r="B193" s="51" t="n"/>
      <c r="C193" s="65" t="n"/>
      <c r="D193" s="65" t="n"/>
      <c r="E193" s="65" t="n"/>
      <c r="F193" s="62" t="n"/>
      <c r="G193" s="51" t="n"/>
      <c r="H193" s="51" t="n"/>
    </row>
    <row r="194">
      <c r="A194" s="80" t="n"/>
      <c r="B194" s="51" t="n"/>
      <c r="C194" s="65" t="n"/>
      <c r="D194" s="65" t="n"/>
      <c r="E194" s="65" t="n"/>
      <c r="F194" s="62" t="n"/>
      <c r="G194" s="51" t="n"/>
      <c r="H194" s="51" t="n"/>
    </row>
    <row r="195">
      <c r="A195" s="80" t="n"/>
      <c r="B195" s="51" t="n"/>
      <c r="C195" s="65" t="n"/>
      <c r="D195" s="65" t="n"/>
      <c r="E195" s="65" t="n"/>
      <c r="F195" s="62" t="n"/>
      <c r="G195" s="51" t="n"/>
      <c r="H195" s="51" t="n"/>
    </row>
    <row r="196">
      <c r="A196" s="80" t="n"/>
      <c r="B196" s="51" t="n"/>
      <c r="C196" s="65" t="n"/>
      <c r="D196" s="65" t="n"/>
      <c r="E196" s="65" t="n"/>
      <c r="F196" s="62" t="n"/>
      <c r="G196" s="51" t="n"/>
      <c r="H196" s="51" t="n"/>
    </row>
    <row r="197">
      <c r="A197" s="80" t="n"/>
      <c r="B197" s="51" t="n"/>
      <c r="C197" s="65" t="n"/>
      <c r="D197" s="65" t="n"/>
      <c r="E197" s="65" t="n"/>
      <c r="F197" s="62" t="n"/>
      <c r="G197" s="51" t="n"/>
      <c r="H197" s="51" t="n"/>
    </row>
    <row r="198">
      <c r="A198" s="80" t="n"/>
      <c r="B198" s="51" t="n"/>
      <c r="C198" s="65" t="n"/>
      <c r="D198" s="65" t="n"/>
      <c r="E198" s="65" t="n"/>
      <c r="F198" s="62" t="n"/>
      <c r="G198" s="51" t="n"/>
      <c r="H198" s="51" t="n"/>
    </row>
    <row r="199">
      <c r="A199" s="80" t="n"/>
      <c r="B199" s="51" t="n"/>
      <c r="C199" s="65" t="n"/>
      <c r="D199" s="65" t="n"/>
      <c r="E199" s="65" t="n"/>
      <c r="F199" s="62" t="n"/>
      <c r="G199" s="51" t="n"/>
      <c r="H199" s="51" t="n"/>
    </row>
    <row r="200">
      <c r="A200" s="80" t="n"/>
      <c r="B200" s="51" t="n"/>
      <c r="C200" s="65" t="n"/>
      <c r="D200" s="65" t="n"/>
      <c r="E200" s="65" t="n"/>
      <c r="F200" s="62" t="n"/>
      <c r="G200" s="51" t="n"/>
      <c r="H200" s="51" t="n"/>
    </row>
    <row r="201">
      <c r="A201" s="80" t="n"/>
      <c r="B201" s="51" t="n"/>
      <c r="C201" s="65" t="n"/>
      <c r="D201" s="65" t="n"/>
      <c r="E201" s="65" t="n"/>
      <c r="F201" s="62" t="n"/>
      <c r="G201" s="51" t="n"/>
      <c r="H201" s="51" t="n"/>
    </row>
    <row r="202">
      <c r="A202" s="80" t="n"/>
      <c r="B202" s="51" t="n"/>
      <c r="C202" s="65" t="n"/>
      <c r="D202" s="65" t="n"/>
      <c r="E202" s="65" t="n"/>
      <c r="F202" s="62" t="n"/>
      <c r="G202" s="51" t="n"/>
      <c r="H202" s="51" t="n"/>
    </row>
    <row r="203">
      <c r="A203" s="80" t="n"/>
      <c r="B203" s="51" t="n"/>
      <c r="C203" s="65" t="n"/>
      <c r="D203" s="65" t="n"/>
      <c r="E203" s="65" t="n"/>
      <c r="F203" s="62" t="n"/>
      <c r="G203" s="51" t="n"/>
      <c r="H203" s="51" t="n"/>
    </row>
    <row r="204">
      <c r="A204" s="80" t="n"/>
      <c r="B204" s="51" t="n"/>
      <c r="C204" s="65" t="n"/>
      <c r="D204" s="65" t="n"/>
      <c r="E204" s="65" t="n"/>
      <c r="F204" s="62" t="n"/>
      <c r="G204" s="51" t="n"/>
      <c r="H204" s="51" t="n"/>
    </row>
    <row r="205">
      <c r="A205" s="80" t="n"/>
      <c r="B205" s="51" t="n"/>
      <c r="C205" s="65" t="n"/>
      <c r="D205" s="65" t="n"/>
      <c r="E205" s="65" t="n"/>
      <c r="F205" s="62" t="n"/>
      <c r="G205" s="51" t="n"/>
      <c r="H205" s="51" t="n"/>
    </row>
    <row r="206">
      <c r="A206" s="80" t="n"/>
      <c r="B206" s="51" t="n"/>
      <c r="C206" s="65" t="n"/>
      <c r="D206" s="65" t="n"/>
      <c r="E206" s="65" t="n"/>
      <c r="F206" s="62" t="n"/>
      <c r="G206" s="51" t="n"/>
      <c r="H206" s="51" t="n"/>
    </row>
    <row r="207">
      <c r="A207" s="80" t="n"/>
      <c r="B207" s="51" t="n"/>
      <c r="C207" s="65" t="n"/>
      <c r="D207" s="65" t="n"/>
      <c r="E207" s="65" t="n"/>
      <c r="F207" s="62" t="n"/>
      <c r="G207" s="51" t="n"/>
      <c r="H207" s="51" t="n"/>
    </row>
    <row r="208">
      <c r="A208" s="80" t="n"/>
      <c r="B208" s="51" t="n"/>
      <c r="C208" s="65" t="n"/>
      <c r="D208" s="65" t="n"/>
      <c r="E208" s="65" t="n"/>
      <c r="F208" s="62" t="n"/>
      <c r="G208" s="51" t="n"/>
      <c r="H208" s="51" t="n"/>
    </row>
    <row r="209">
      <c r="A209" s="80" t="n"/>
      <c r="B209" s="51" t="n"/>
      <c r="C209" s="65" t="n"/>
      <c r="D209" s="65" t="n"/>
      <c r="E209" s="65" t="n"/>
      <c r="F209" s="62" t="n"/>
      <c r="G209" s="51" t="n"/>
      <c r="H209" s="51" t="n"/>
    </row>
    <row r="210">
      <c r="A210" s="80" t="n"/>
      <c r="B210" s="51" t="n"/>
      <c r="C210" s="65" t="n"/>
      <c r="D210" s="65" t="n"/>
      <c r="E210" s="65" t="n"/>
      <c r="F210" s="62" t="n"/>
      <c r="G210" s="51" t="n"/>
      <c r="H210" s="51" t="n"/>
    </row>
    <row r="211">
      <c r="A211" s="80" t="n"/>
      <c r="B211" s="51" t="n"/>
      <c r="C211" s="65" t="n"/>
      <c r="D211" s="65" t="n"/>
      <c r="E211" s="65" t="n"/>
      <c r="F211" s="62" t="n"/>
      <c r="G211" s="51" t="n"/>
      <c r="H211" s="51" t="n"/>
    </row>
    <row r="212">
      <c r="A212" s="80" t="n"/>
      <c r="B212" s="51" t="n"/>
      <c r="C212" s="65" t="n"/>
      <c r="D212" s="65" t="n"/>
      <c r="E212" s="65" t="n"/>
      <c r="F212" s="62" t="n"/>
      <c r="G212" s="51" t="n"/>
      <c r="H212" s="51" t="n"/>
    </row>
    <row r="213">
      <c r="A213" s="80" t="n"/>
      <c r="B213" s="51" t="n"/>
      <c r="C213" s="65" t="n"/>
      <c r="D213" s="65" t="n"/>
      <c r="E213" s="65" t="n"/>
      <c r="F213" s="62" t="n"/>
      <c r="G213" s="51" t="n"/>
      <c r="H213" s="51" t="n"/>
    </row>
    <row r="214">
      <c r="A214" s="80" t="n"/>
      <c r="B214" s="51" t="n"/>
      <c r="C214" s="65" t="n"/>
      <c r="D214" s="65" t="n"/>
      <c r="E214" s="65" t="n"/>
      <c r="F214" s="62" t="n"/>
      <c r="G214" s="51" t="n"/>
      <c r="H214" s="51" t="n"/>
    </row>
    <row r="215">
      <c r="A215" s="80" t="n"/>
      <c r="B215" s="51" t="n"/>
      <c r="C215" s="65" t="n"/>
      <c r="D215" s="65" t="n"/>
      <c r="E215" s="65" t="n"/>
      <c r="F215" s="62" t="n"/>
      <c r="G215" s="51" t="n"/>
      <c r="H215" s="51" t="n"/>
    </row>
    <row r="216">
      <c r="A216" s="80" t="n"/>
      <c r="B216" s="51" t="n"/>
      <c r="C216" s="65" t="n"/>
      <c r="D216" s="65" t="n"/>
      <c r="E216" s="65" t="n"/>
      <c r="F216" s="62" t="n"/>
      <c r="G216" s="51" t="n"/>
      <c r="H216" s="51" t="n"/>
    </row>
    <row r="217">
      <c r="A217" s="80" t="n"/>
      <c r="B217" s="51" t="n"/>
      <c r="C217" s="65" t="n"/>
      <c r="D217" s="65" t="n"/>
      <c r="E217" s="65" t="n"/>
      <c r="F217" s="62" t="n"/>
      <c r="G217" s="51" t="n"/>
      <c r="H217" s="51" t="n"/>
    </row>
    <row r="218">
      <c r="A218" s="80" t="n"/>
      <c r="B218" s="51" t="n"/>
      <c r="C218" s="65" t="n"/>
      <c r="D218" s="65" t="n"/>
      <c r="E218" s="65" t="n"/>
      <c r="F218" s="62" t="n"/>
      <c r="G218" s="51" t="n"/>
      <c r="H218" s="51" t="n"/>
    </row>
    <row r="219">
      <c r="A219" s="80" t="n"/>
      <c r="B219" s="51" t="n"/>
      <c r="C219" s="65" t="n"/>
      <c r="D219" s="65" t="n"/>
      <c r="E219" s="65" t="n"/>
      <c r="F219" s="62" t="n"/>
      <c r="G219" s="51" t="n"/>
      <c r="H219" s="51" t="n"/>
    </row>
    <row r="220">
      <c r="A220" s="80" t="n"/>
      <c r="B220" s="51" t="n"/>
      <c r="C220" s="65" t="n"/>
      <c r="D220" s="65" t="n"/>
      <c r="E220" s="65" t="n"/>
      <c r="F220" s="62" t="n"/>
      <c r="G220" s="51" t="n"/>
      <c r="H220" s="51" t="n"/>
    </row>
    <row r="221">
      <c r="A221" s="80" t="n"/>
      <c r="B221" s="51" t="n"/>
      <c r="C221" s="65" t="n"/>
      <c r="D221" s="65" t="n"/>
      <c r="E221" s="65" t="n"/>
      <c r="F221" s="62" t="n"/>
      <c r="G221" s="51" t="n"/>
      <c r="H221" s="51" t="n"/>
    </row>
    <row r="222">
      <c r="A222" s="80" t="n"/>
      <c r="B222" s="51" t="n"/>
      <c r="C222" s="65" t="n"/>
      <c r="D222" s="65" t="n"/>
      <c r="E222" s="65" t="n"/>
      <c r="F222" s="62" t="n"/>
      <c r="G222" s="51" t="n"/>
      <c r="H222" s="51" t="n"/>
    </row>
    <row r="223">
      <c r="A223" s="80" t="n"/>
      <c r="B223" s="51" t="n"/>
      <c r="C223" s="65" t="n"/>
      <c r="D223" s="65" t="n"/>
      <c r="E223" s="65" t="n"/>
      <c r="F223" s="62" t="n"/>
      <c r="G223" s="51" t="n"/>
      <c r="H223" s="51" t="n"/>
    </row>
    <row r="224">
      <c r="A224" s="80" t="n"/>
      <c r="B224" s="51" t="n"/>
      <c r="C224" s="65" t="n"/>
      <c r="D224" s="65" t="n"/>
      <c r="E224" s="65" t="n"/>
      <c r="F224" s="62" t="n"/>
      <c r="G224" s="51" t="n"/>
      <c r="H224" s="51" t="n"/>
    </row>
    <row r="225">
      <c r="A225" s="80" t="n"/>
      <c r="B225" s="51" t="n"/>
      <c r="C225" s="65" t="n"/>
      <c r="D225" s="65" t="n"/>
      <c r="E225" s="65" t="n"/>
      <c r="F225" s="62" t="n"/>
      <c r="G225" s="51" t="n"/>
      <c r="H225" s="51" t="n"/>
    </row>
    <row r="226">
      <c r="A226" s="80" t="n"/>
      <c r="B226" s="51" t="n"/>
      <c r="C226" s="65" t="n"/>
      <c r="D226" s="65" t="n"/>
      <c r="E226" s="65" t="n"/>
      <c r="F226" s="62" t="n"/>
      <c r="G226" s="51" t="n"/>
      <c r="H226" s="51" t="n"/>
    </row>
    <row r="227">
      <c r="A227" s="80" t="n"/>
      <c r="B227" s="51" t="n"/>
      <c r="C227" s="65" t="n"/>
      <c r="D227" s="65" t="n"/>
      <c r="E227" s="65" t="n"/>
      <c r="F227" s="62" t="n"/>
      <c r="G227" s="51" t="n"/>
      <c r="H227" s="51" t="n"/>
    </row>
    <row r="228">
      <c r="A228" s="80" t="n"/>
      <c r="B228" s="51" t="n"/>
      <c r="C228" s="65" t="n"/>
      <c r="D228" s="65" t="n"/>
      <c r="E228" s="65" t="n"/>
      <c r="F228" s="62" t="n"/>
      <c r="G228" s="51" t="n"/>
      <c r="H228" s="51" t="n"/>
    </row>
    <row r="229">
      <c r="A229" s="80" t="n"/>
      <c r="B229" s="51" t="n"/>
      <c r="C229" s="65" t="n"/>
      <c r="D229" s="65" t="n"/>
      <c r="E229" s="65" t="n"/>
      <c r="F229" s="62" t="n"/>
      <c r="G229" s="51" t="n"/>
      <c r="H229" s="51" t="n"/>
    </row>
    <row r="230">
      <c r="A230" s="80" t="n"/>
      <c r="B230" s="51" t="n"/>
      <c r="C230" s="65" t="n"/>
      <c r="D230" s="65" t="n"/>
      <c r="E230" s="65" t="n"/>
      <c r="F230" s="62" t="n"/>
      <c r="G230" s="51" t="n"/>
      <c r="H230" s="51" t="n"/>
    </row>
    <row r="231">
      <c r="A231" s="80" t="n"/>
      <c r="B231" s="51" t="n"/>
      <c r="C231" s="65" t="n"/>
      <c r="D231" s="65" t="n"/>
      <c r="E231" s="65" t="n"/>
      <c r="F231" s="62" t="n"/>
      <c r="G231" s="51" t="n"/>
      <c r="H231" s="51" t="n"/>
    </row>
    <row r="232">
      <c r="A232" s="80" t="n"/>
      <c r="B232" s="51" t="n"/>
      <c r="C232" s="65" t="n"/>
      <c r="D232" s="65" t="n"/>
      <c r="E232" s="65" t="n"/>
      <c r="F232" s="62" t="n"/>
      <c r="G232" s="51" t="n"/>
      <c r="H232" s="51" t="n"/>
    </row>
    <row r="233">
      <c r="A233" s="80" t="n"/>
      <c r="B233" s="51" t="n"/>
      <c r="C233" s="65" t="n"/>
      <c r="D233" s="65" t="n"/>
      <c r="E233" s="65" t="n"/>
      <c r="F233" s="62" t="n"/>
      <c r="G233" s="51" t="n"/>
      <c r="H233" s="51" t="n"/>
    </row>
    <row r="234">
      <c r="A234" s="80" t="n"/>
      <c r="B234" s="51" t="n"/>
      <c r="C234" s="65" t="n"/>
      <c r="D234" s="65" t="n"/>
      <c r="E234" s="65" t="n"/>
      <c r="F234" s="62" t="n"/>
      <c r="G234" s="51" t="n"/>
      <c r="H234" s="51" t="n"/>
    </row>
    <row r="235">
      <c r="A235" s="80" t="n"/>
      <c r="B235" s="51" t="n"/>
      <c r="C235" s="65" t="n"/>
      <c r="D235" s="65" t="n"/>
      <c r="E235" s="65" t="n"/>
      <c r="F235" s="62" t="n"/>
      <c r="G235" s="51" t="n"/>
      <c r="H235" s="51" t="n"/>
    </row>
    <row r="236">
      <c r="A236" s="80" t="n"/>
      <c r="B236" s="51" t="n"/>
      <c r="C236" s="65" t="n"/>
      <c r="D236" s="65" t="n"/>
      <c r="E236" s="65" t="n"/>
      <c r="F236" s="62" t="n"/>
      <c r="G236" s="51" t="n"/>
      <c r="H236" s="51" t="n"/>
    </row>
    <row r="237">
      <c r="A237" s="80" t="n"/>
      <c r="B237" s="51" t="n"/>
      <c r="C237" s="65" t="n"/>
      <c r="D237" s="65" t="n"/>
      <c r="E237" s="65" t="n"/>
      <c r="F237" s="62" t="n"/>
      <c r="G237" s="51" t="n"/>
      <c r="H237" s="51" t="n"/>
    </row>
    <row r="238">
      <c r="A238" s="80" t="n"/>
      <c r="B238" s="51" t="n"/>
      <c r="C238" s="65" t="n"/>
      <c r="D238" s="65" t="n"/>
      <c r="E238" s="65" t="n"/>
      <c r="F238" s="62" t="n"/>
      <c r="G238" s="51" t="n"/>
      <c r="H238" s="51" t="n"/>
    </row>
    <row r="239">
      <c r="A239" s="80" t="n"/>
      <c r="B239" s="51" t="n"/>
      <c r="C239" s="65" t="n"/>
      <c r="D239" s="65" t="n"/>
      <c r="E239" s="65" t="n"/>
      <c r="F239" s="62" t="n"/>
      <c r="G239" s="51" t="n"/>
      <c r="H239" s="51" t="n"/>
    </row>
    <row r="240">
      <c r="A240" s="80" t="n"/>
      <c r="B240" s="51" t="n"/>
      <c r="C240" s="65" t="n"/>
      <c r="D240" s="65" t="n"/>
      <c r="E240" s="65" t="n"/>
      <c r="F240" s="62" t="n"/>
      <c r="G240" s="51" t="n"/>
      <c r="H240" s="51" t="n"/>
    </row>
    <row r="241">
      <c r="A241" s="80" t="n"/>
      <c r="B241" s="51" t="n"/>
      <c r="C241" s="65" t="n"/>
      <c r="D241" s="65" t="n"/>
      <c r="E241" s="65" t="n"/>
      <c r="F241" s="62" t="n"/>
      <c r="G241" s="51" t="n"/>
      <c r="H241" s="51" t="n"/>
    </row>
    <row r="242">
      <c r="A242" s="80" t="n"/>
      <c r="B242" s="51" t="n"/>
      <c r="C242" s="65" t="n"/>
      <c r="D242" s="65" t="n"/>
      <c r="E242" s="65" t="n"/>
      <c r="F242" s="62" t="n"/>
      <c r="G242" s="51" t="n"/>
      <c r="H242" s="51" t="n"/>
    </row>
    <row r="243">
      <c r="A243" s="80" t="n"/>
      <c r="B243" s="51" t="n"/>
      <c r="C243" s="65" t="n"/>
      <c r="D243" s="65" t="n"/>
      <c r="E243" s="65" t="n"/>
      <c r="F243" s="62" t="n"/>
      <c r="G243" s="51" t="n"/>
      <c r="H243" s="51" t="n"/>
    </row>
    <row r="244">
      <c r="A244" s="80" t="n"/>
      <c r="B244" s="51" t="n"/>
      <c r="C244" s="65" t="n"/>
      <c r="D244" s="65" t="n"/>
      <c r="E244" s="65" t="n"/>
      <c r="F244" s="62" t="n"/>
      <c r="G244" s="51" t="n"/>
      <c r="H244" s="51" t="n"/>
    </row>
    <row r="245">
      <c r="A245" s="80" t="n"/>
      <c r="B245" s="51" t="n"/>
      <c r="C245" s="65" t="n"/>
      <c r="D245" s="65" t="n"/>
      <c r="E245" s="65" t="n"/>
      <c r="F245" s="62" t="n"/>
      <c r="G245" s="51" t="n"/>
      <c r="H245" s="51" t="n"/>
    </row>
    <row r="246">
      <c r="A246" s="80" t="n"/>
      <c r="B246" s="51" t="n"/>
      <c r="C246" s="65" t="n"/>
      <c r="D246" s="65" t="n"/>
      <c r="E246" s="65" t="n"/>
      <c r="F246" s="62" t="n"/>
      <c r="G246" s="51" t="n"/>
      <c r="H246" s="51" t="n"/>
    </row>
    <row r="247">
      <c r="A247" s="80" t="n"/>
      <c r="B247" s="51" t="n"/>
      <c r="C247" s="65" t="n"/>
      <c r="D247" s="65" t="n"/>
      <c r="E247" s="65" t="n"/>
      <c r="F247" s="62" t="n"/>
      <c r="G247" s="51" t="n"/>
      <c r="H247" s="51" t="n"/>
    </row>
    <row r="248">
      <c r="A248" s="80" t="n"/>
      <c r="B248" s="51" t="n"/>
      <c r="C248" s="65" t="n"/>
      <c r="D248" s="65" t="n"/>
      <c r="E248" s="65" t="n"/>
      <c r="F248" s="62" t="n"/>
      <c r="G248" s="51" t="n"/>
      <c r="H248" s="51" t="n"/>
    </row>
    <row r="249">
      <c r="A249" s="80" t="n"/>
      <c r="B249" s="51" t="n"/>
      <c r="C249" s="65" t="n"/>
      <c r="D249" s="65" t="n"/>
      <c r="E249" s="65" t="n"/>
      <c r="F249" s="62" t="n"/>
      <c r="G249" s="51" t="n"/>
      <c r="H249" s="51" t="n"/>
    </row>
    <row r="250">
      <c r="A250" s="80" t="n"/>
      <c r="B250" s="51" t="n"/>
      <c r="C250" s="65" t="n"/>
      <c r="D250" s="65" t="n"/>
      <c r="E250" s="65" t="n"/>
      <c r="F250" s="62" t="n"/>
      <c r="G250" s="51" t="n"/>
      <c r="H250" s="51" t="n"/>
    </row>
    <row r="251">
      <c r="A251" s="80" t="n"/>
      <c r="B251" s="51" t="n"/>
      <c r="C251" s="65" t="n"/>
      <c r="D251" s="65" t="n"/>
      <c r="E251" s="65" t="n"/>
      <c r="F251" s="62" t="n"/>
      <c r="G251" s="51" t="n"/>
      <c r="H251" s="51" t="n"/>
    </row>
    <row r="252">
      <c r="A252" s="80" t="n"/>
      <c r="B252" s="51" t="n"/>
      <c r="C252" s="65" t="n"/>
      <c r="D252" s="65" t="n"/>
      <c r="E252" s="65" t="n"/>
      <c r="F252" s="62" t="n"/>
      <c r="G252" s="51" t="n"/>
      <c r="H252" s="51" t="n"/>
    </row>
    <row r="253">
      <c r="A253" s="80" t="n"/>
      <c r="B253" s="51" t="n"/>
      <c r="C253" s="65" t="n"/>
      <c r="D253" s="65" t="n"/>
      <c r="E253" s="65" t="n"/>
      <c r="F253" s="62" t="n"/>
      <c r="G253" s="51" t="n"/>
      <c r="H253" s="51" t="n"/>
    </row>
    <row r="254">
      <c r="A254" s="80" t="n"/>
      <c r="B254" s="51" t="n"/>
      <c r="C254" s="65" t="n"/>
      <c r="D254" s="65" t="n"/>
      <c r="E254" s="65" t="n"/>
      <c r="F254" s="62" t="n"/>
      <c r="G254" s="51" t="n"/>
      <c r="H254" s="51" t="n"/>
    </row>
    <row r="255">
      <c r="A255" s="80" t="n"/>
      <c r="B255" s="51" t="n"/>
      <c r="C255" s="65" t="n"/>
      <c r="D255" s="65" t="n"/>
      <c r="E255" s="65" t="n"/>
      <c r="F255" s="62" t="n"/>
      <c r="G255" s="51" t="n"/>
      <c r="H255" s="51" t="n"/>
    </row>
    <row r="256">
      <c r="A256" s="80" t="n"/>
      <c r="B256" s="51" t="n"/>
      <c r="C256" s="65" t="n"/>
      <c r="D256" s="65" t="n"/>
      <c r="E256" s="65" t="n"/>
      <c r="F256" s="62" t="n"/>
      <c r="G256" s="51" t="n"/>
      <c r="H256" s="51" t="n"/>
    </row>
    <row r="257">
      <c r="A257" s="80" t="n"/>
      <c r="B257" s="51" t="n"/>
      <c r="C257" s="65" t="n"/>
      <c r="D257" s="65" t="n"/>
      <c r="E257" s="65" t="n"/>
      <c r="F257" s="62" t="n"/>
      <c r="G257" s="51" t="n"/>
      <c r="H257" s="51" t="n"/>
    </row>
    <row r="258">
      <c r="A258" s="80" t="n"/>
      <c r="B258" s="51" t="n"/>
      <c r="C258" s="65" t="n"/>
      <c r="D258" s="65" t="n"/>
      <c r="E258" s="65" t="n"/>
      <c r="F258" s="62" t="n"/>
      <c r="G258" s="51" t="n"/>
      <c r="H258" s="51" t="n"/>
    </row>
    <row r="259">
      <c r="A259" s="80" t="n"/>
      <c r="B259" s="51" t="n"/>
      <c r="C259" s="65" t="n"/>
      <c r="D259" s="65" t="n"/>
      <c r="E259" s="65" t="n"/>
      <c r="F259" s="62" t="n"/>
      <c r="G259" s="51" t="n"/>
      <c r="H259" s="51" t="n"/>
    </row>
    <row r="260">
      <c r="A260" s="80" t="n"/>
      <c r="B260" s="51" t="n"/>
      <c r="C260" s="65" t="n"/>
      <c r="D260" s="65" t="n"/>
      <c r="E260" s="65" t="n"/>
      <c r="F260" s="62" t="n"/>
      <c r="G260" s="51" t="n"/>
      <c r="H260" s="51" t="n"/>
    </row>
    <row r="261">
      <c r="A261" s="80" t="n"/>
      <c r="B261" s="51" t="n"/>
      <c r="C261" s="65" t="n"/>
      <c r="D261" s="65" t="n"/>
      <c r="E261" s="65" t="n"/>
      <c r="F261" s="62" t="n"/>
      <c r="G261" s="51" t="n"/>
      <c r="H261" s="51" t="n"/>
    </row>
    <row r="262">
      <c r="A262" s="80" t="n"/>
      <c r="B262" s="51" t="n"/>
      <c r="C262" s="65" t="n"/>
      <c r="D262" s="65" t="n"/>
      <c r="E262" s="65" t="n"/>
      <c r="F262" s="62" t="n"/>
      <c r="G262" s="51" t="n"/>
      <c r="H262" s="51" t="n"/>
    </row>
    <row r="263">
      <c r="A263" s="80" t="n"/>
      <c r="B263" s="51" t="n"/>
      <c r="C263" s="65" t="n"/>
      <c r="D263" s="65" t="n"/>
      <c r="E263" s="65" t="n"/>
      <c r="F263" s="62" t="n"/>
      <c r="G263" s="51" t="n"/>
      <c r="H263" s="51" t="n"/>
    </row>
    <row r="264">
      <c r="A264" s="80" t="n"/>
      <c r="B264" s="51" t="n"/>
      <c r="C264" s="65" t="n"/>
      <c r="D264" s="65" t="n"/>
      <c r="E264" s="65" t="n"/>
      <c r="F264" s="62" t="n"/>
      <c r="G264" s="51" t="n"/>
      <c r="H264" s="51" t="n"/>
    </row>
    <row r="265">
      <c r="A265" s="80" t="n"/>
      <c r="B265" s="51" t="n"/>
      <c r="C265" s="65" t="n"/>
      <c r="D265" s="65" t="n"/>
      <c r="E265" s="65" t="n"/>
      <c r="F265" s="62" t="n"/>
      <c r="G265" s="51" t="n"/>
      <c r="H265" s="51" t="n"/>
    </row>
    <row r="266">
      <c r="A266" s="80" t="n"/>
      <c r="B266" s="51" t="n"/>
      <c r="C266" s="65" t="n"/>
      <c r="D266" s="65" t="n"/>
      <c r="E266" s="65" t="n"/>
      <c r="F266" s="62" t="n"/>
      <c r="G266" s="51" t="n"/>
      <c r="H266" s="51" t="n"/>
    </row>
    <row r="267">
      <c r="A267" s="80" t="n"/>
      <c r="B267" s="51" t="n"/>
      <c r="C267" s="65" t="n"/>
      <c r="D267" s="65" t="n"/>
      <c r="E267" s="65" t="n"/>
      <c r="F267" s="62" t="n"/>
      <c r="G267" s="51" t="n"/>
      <c r="H267" s="51" t="n"/>
    </row>
    <row r="268">
      <c r="A268" s="80" t="n"/>
      <c r="B268" s="51" t="n"/>
      <c r="C268" s="65" t="n"/>
      <c r="D268" s="65" t="n"/>
      <c r="E268" s="65" t="n"/>
      <c r="F268" s="62" t="n"/>
      <c r="G268" s="51" t="n"/>
      <c r="H268" s="51" t="n"/>
    </row>
    <row r="269">
      <c r="A269" s="80" t="n"/>
      <c r="B269" s="51" t="n"/>
      <c r="C269" s="65" t="n"/>
      <c r="D269" s="65" t="n"/>
      <c r="E269" s="65" t="n"/>
      <c r="F269" s="62" t="n"/>
      <c r="G269" s="51" t="n"/>
      <c r="H269" s="51" t="n"/>
    </row>
    <row r="270">
      <c r="A270" s="80" t="n"/>
      <c r="B270" s="51" t="n"/>
      <c r="C270" s="65" t="n"/>
      <c r="D270" s="65" t="n"/>
      <c r="E270" s="65" t="n"/>
      <c r="F270" s="62" t="n"/>
      <c r="G270" s="51" t="n"/>
      <c r="H270" s="51" t="n"/>
    </row>
    <row r="271">
      <c r="A271" s="80" t="n"/>
      <c r="B271" s="51" t="n"/>
      <c r="C271" s="65" t="n"/>
      <c r="D271" s="65" t="n"/>
      <c r="E271" s="65" t="n"/>
      <c r="F271" s="62" t="n"/>
      <c r="G271" s="51" t="n"/>
      <c r="H271" s="51" t="n"/>
    </row>
    <row r="272">
      <c r="A272" s="80" t="n"/>
      <c r="B272" s="51" t="n"/>
      <c r="C272" s="65" t="n"/>
      <c r="D272" s="65" t="n"/>
      <c r="E272" s="65" t="n"/>
      <c r="F272" s="62" t="n"/>
      <c r="G272" s="51" t="n"/>
      <c r="H272" s="51" t="n"/>
    </row>
    <row r="273">
      <c r="A273" s="80" t="n"/>
      <c r="B273" s="51" t="n"/>
      <c r="C273" s="65" t="n"/>
      <c r="D273" s="65" t="n"/>
      <c r="E273" s="65" t="n"/>
      <c r="F273" s="62" t="n"/>
      <c r="G273" s="51" t="n"/>
      <c r="H273" s="51" t="n"/>
    </row>
    <row r="274">
      <c r="A274" s="80" t="n"/>
      <c r="B274" s="51" t="n"/>
      <c r="C274" s="65" t="n"/>
      <c r="D274" s="65" t="n"/>
      <c r="E274" s="65" t="n"/>
      <c r="F274" s="62" t="n"/>
      <c r="G274" s="51" t="n"/>
      <c r="H274" s="51" t="n"/>
    </row>
    <row r="275">
      <c r="A275" s="80" t="n"/>
      <c r="B275" s="51" t="n"/>
      <c r="C275" s="65" t="n"/>
      <c r="D275" s="65" t="n"/>
      <c r="E275" s="65" t="n"/>
      <c r="F275" s="62" t="n"/>
      <c r="G275" s="51" t="n"/>
      <c r="H275" s="51" t="n"/>
    </row>
    <row r="276">
      <c r="A276" s="80" t="n"/>
      <c r="B276" s="51" t="n"/>
      <c r="C276" s="65" t="n"/>
      <c r="D276" s="65" t="n"/>
      <c r="E276" s="65" t="n"/>
      <c r="F276" s="62" t="n"/>
      <c r="G276" s="51" t="n"/>
      <c r="H276" s="51" t="n"/>
    </row>
    <row r="277">
      <c r="A277" s="80" t="n"/>
      <c r="B277" s="51" t="n"/>
      <c r="C277" s="65" t="n"/>
      <c r="D277" s="65" t="n"/>
      <c r="E277" s="65" t="n"/>
      <c r="F277" s="62" t="n"/>
      <c r="G277" s="51" t="n"/>
      <c r="H277" s="51" t="n"/>
    </row>
    <row r="278">
      <c r="A278" s="80" t="n"/>
      <c r="B278" s="51" t="n"/>
      <c r="C278" s="65" t="n"/>
      <c r="D278" s="65" t="n"/>
      <c r="E278" s="65" t="n"/>
      <c r="F278" s="62" t="n"/>
      <c r="G278" s="51" t="n"/>
      <c r="H278" s="51" t="n"/>
    </row>
    <row r="279">
      <c r="A279" s="80" t="n"/>
      <c r="B279" s="51" t="n"/>
      <c r="C279" s="65" t="n"/>
      <c r="D279" s="65" t="n"/>
      <c r="E279" s="65" t="n"/>
      <c r="F279" s="62" t="n"/>
      <c r="G279" s="51" t="n"/>
      <c r="H279" s="51" t="n"/>
    </row>
    <row r="280">
      <c r="A280" s="80" t="n"/>
      <c r="B280" s="51" t="n"/>
      <c r="C280" s="65" t="n"/>
      <c r="D280" s="65" t="n"/>
      <c r="E280" s="65" t="n"/>
      <c r="F280" s="62" t="n"/>
      <c r="G280" s="51" t="n"/>
      <c r="H280" s="51" t="n"/>
    </row>
    <row r="281">
      <c r="A281" s="80" t="n"/>
      <c r="B281" s="51" t="n"/>
      <c r="C281" s="65" t="n"/>
      <c r="D281" s="65" t="n"/>
      <c r="E281" s="65" t="n"/>
      <c r="F281" s="62" t="n"/>
      <c r="G281" s="51" t="n"/>
      <c r="H281" s="51" t="n"/>
    </row>
    <row r="282">
      <c r="A282" s="80" t="n"/>
      <c r="B282" s="51" t="n"/>
      <c r="C282" s="65" t="n"/>
      <c r="D282" s="65" t="n"/>
      <c r="E282" s="65" t="n"/>
      <c r="F282" s="62" t="n"/>
      <c r="G282" s="51" t="n"/>
      <c r="H282" s="51" t="n"/>
    </row>
    <row r="283">
      <c r="A283" s="80" t="n"/>
      <c r="B283" s="51" t="n"/>
      <c r="C283" s="65" t="n"/>
      <c r="D283" s="65" t="n"/>
      <c r="E283" s="65" t="n"/>
      <c r="F283" s="62" t="n"/>
      <c r="G283" s="51" t="n"/>
      <c r="H283" s="51" t="n"/>
    </row>
    <row r="284">
      <c r="A284" s="80" t="n"/>
      <c r="B284" s="51" t="n"/>
      <c r="C284" s="65" t="n"/>
      <c r="D284" s="65" t="n"/>
      <c r="E284" s="65" t="n"/>
      <c r="F284" s="62" t="n"/>
      <c r="G284" s="51" t="n"/>
      <c r="H284" s="51" t="n"/>
    </row>
    <row r="285">
      <c r="A285" s="80" t="n"/>
      <c r="B285" s="51" t="n"/>
      <c r="C285" s="65" t="n"/>
      <c r="D285" s="65" t="n"/>
      <c r="E285" s="65" t="n"/>
      <c r="F285" s="62" t="n"/>
      <c r="G285" s="51" t="n"/>
      <c r="H285" s="51" t="n"/>
    </row>
    <row r="286">
      <c r="A286" s="80" t="n"/>
      <c r="B286" s="51" t="n"/>
      <c r="C286" s="65" t="n"/>
      <c r="D286" s="65" t="n"/>
      <c r="E286" s="65" t="n"/>
      <c r="F286" s="62" t="n"/>
      <c r="G286" s="51" t="n"/>
      <c r="H286" s="51" t="n"/>
    </row>
    <row r="287">
      <c r="A287" s="80" t="n"/>
      <c r="B287" s="51" t="n"/>
      <c r="C287" s="65" t="n"/>
      <c r="D287" s="65" t="n"/>
      <c r="E287" s="65" t="n"/>
      <c r="F287" s="62" t="n"/>
      <c r="G287" s="51" t="n"/>
      <c r="H287" s="51" t="n"/>
    </row>
    <row r="288">
      <c r="A288" s="80" t="n"/>
      <c r="B288" s="51" t="n"/>
      <c r="C288" s="65" t="n"/>
      <c r="D288" s="65" t="n"/>
      <c r="E288" s="65" t="n"/>
      <c r="F288" s="62" t="n"/>
      <c r="G288" s="51" t="n"/>
      <c r="H288" s="51" t="n"/>
    </row>
    <row r="289">
      <c r="A289" s="80" t="n"/>
      <c r="B289" s="51" t="n"/>
      <c r="C289" s="65" t="n"/>
      <c r="D289" s="65" t="n"/>
      <c r="E289" s="65" t="n"/>
      <c r="F289" s="62" t="n"/>
      <c r="G289" s="51" t="n"/>
      <c r="H289" s="51" t="n"/>
    </row>
    <row r="290">
      <c r="A290" s="80" t="n"/>
      <c r="B290" s="51" t="n"/>
      <c r="C290" s="65" t="n"/>
      <c r="D290" s="65" t="n"/>
      <c r="E290" s="65" t="n"/>
      <c r="F290" s="62" t="n"/>
      <c r="G290" s="51" t="n"/>
      <c r="H290" s="51" t="n"/>
    </row>
    <row r="291">
      <c r="A291" s="80" t="n"/>
      <c r="B291" s="51" t="n"/>
      <c r="C291" s="65" t="n"/>
      <c r="D291" s="65" t="n"/>
      <c r="E291" s="65" t="n"/>
      <c r="F291" s="62" t="n"/>
      <c r="G291" s="51" t="n"/>
      <c r="H291" s="51" t="n"/>
    </row>
    <row r="292">
      <c r="A292" s="80" t="n"/>
      <c r="B292" s="51" t="n"/>
      <c r="C292" s="65" t="n"/>
      <c r="D292" s="65" t="n"/>
      <c r="E292" s="65" t="n"/>
      <c r="F292" s="62" t="n"/>
      <c r="G292" s="51" t="n"/>
      <c r="H292" s="51" t="n"/>
    </row>
    <row r="293">
      <c r="A293" s="80" t="n"/>
      <c r="B293" s="51" t="n"/>
      <c r="C293" s="65" t="n"/>
      <c r="D293" s="65" t="n"/>
      <c r="E293" s="65" t="n"/>
      <c r="F293" s="62" t="n"/>
      <c r="G293" s="51" t="n"/>
      <c r="H293" s="51" t="n"/>
    </row>
    <row r="294">
      <c r="A294" s="80" t="n"/>
      <c r="B294" s="51" t="n"/>
      <c r="C294" s="65" t="n"/>
      <c r="D294" s="65" t="n"/>
      <c r="E294" s="65" t="n"/>
      <c r="F294" s="62" t="n"/>
      <c r="G294" s="51" t="n"/>
      <c r="H294" s="51" t="n"/>
    </row>
    <row r="295">
      <c r="A295" s="80" t="n"/>
      <c r="B295" s="51" t="n"/>
      <c r="C295" s="65" t="n"/>
      <c r="D295" s="65" t="n"/>
      <c r="E295" s="65" t="n"/>
      <c r="F295" s="62" t="n"/>
      <c r="G295" s="51" t="n"/>
      <c r="H295" s="51" t="n"/>
    </row>
    <row r="296">
      <c r="A296" s="80" t="n"/>
      <c r="B296" s="51" t="n"/>
      <c r="C296" s="65" t="n"/>
      <c r="D296" s="65" t="n"/>
      <c r="E296" s="65" t="n"/>
      <c r="F296" s="62" t="n"/>
      <c r="G296" s="51" t="n"/>
      <c r="H296" s="51" t="n"/>
    </row>
    <row r="297">
      <c r="A297" s="80" t="n"/>
      <c r="B297" s="51" t="n"/>
      <c r="C297" s="65" t="n"/>
      <c r="D297" s="65" t="n"/>
      <c r="E297" s="65" t="n"/>
      <c r="F297" s="62" t="n"/>
      <c r="G297" s="51" t="n"/>
      <c r="H297" s="51" t="n"/>
    </row>
    <row r="298">
      <c r="A298" s="80" t="n"/>
      <c r="B298" s="51" t="n"/>
      <c r="C298" s="65" t="n"/>
      <c r="D298" s="65" t="n"/>
      <c r="E298" s="65" t="n"/>
      <c r="F298" s="62" t="n"/>
      <c r="G298" s="51" t="n"/>
      <c r="H298" s="51" t="n"/>
    </row>
    <row r="299">
      <c r="A299" s="80" t="n"/>
      <c r="B299" s="51" t="n"/>
      <c r="C299" s="65" t="n"/>
      <c r="D299" s="65" t="n"/>
      <c r="E299" s="65" t="n"/>
      <c r="F299" s="62" t="n"/>
      <c r="G299" s="51" t="n"/>
      <c r="H299" s="51" t="n"/>
    </row>
    <row r="300">
      <c r="A300" s="80" t="n"/>
      <c r="B300" s="51" t="n"/>
      <c r="C300" s="65" t="n"/>
      <c r="D300" s="65" t="n"/>
      <c r="E300" s="65" t="n"/>
      <c r="F300" s="62" t="n"/>
      <c r="G300" s="51" t="n"/>
      <c r="H300" s="51" t="n"/>
    </row>
    <row r="301">
      <c r="A301" s="80" t="n"/>
      <c r="B301" s="51" t="n"/>
      <c r="C301" s="65" t="n"/>
      <c r="D301" s="65" t="n"/>
      <c r="E301" s="65" t="n"/>
      <c r="F301" s="62" t="n"/>
      <c r="G301" s="51" t="n"/>
      <c r="H301" s="51" t="n"/>
    </row>
    <row r="302">
      <c r="A302" s="80" t="n"/>
      <c r="B302" s="51" t="n"/>
      <c r="C302" s="65" t="n"/>
      <c r="D302" s="65" t="n"/>
      <c r="E302" s="65" t="n"/>
      <c r="F302" s="62" t="n"/>
      <c r="G302" s="51" t="n"/>
      <c r="H302" s="51" t="n"/>
    </row>
    <row r="303">
      <c r="A303" s="80" t="n"/>
      <c r="B303" s="51" t="n"/>
      <c r="C303" s="65" t="n"/>
      <c r="D303" s="65" t="n"/>
      <c r="E303" s="65" t="n"/>
      <c r="F303" s="62" t="n"/>
      <c r="G303" s="51" t="n"/>
      <c r="H303" s="51" t="n"/>
    </row>
    <row r="304">
      <c r="A304" s="80" t="n"/>
      <c r="B304" s="51" t="n"/>
      <c r="C304" s="65" t="n"/>
      <c r="D304" s="65" t="n"/>
      <c r="E304" s="65" t="n"/>
      <c r="F304" s="62" t="n"/>
      <c r="G304" s="51" t="n"/>
      <c r="H304" s="51" t="n"/>
    </row>
    <row r="305">
      <c r="A305" s="80" t="n"/>
      <c r="B305" s="51" t="n"/>
      <c r="C305" s="65" t="n"/>
      <c r="D305" s="65" t="n"/>
      <c r="E305" s="65" t="n"/>
      <c r="F305" s="62" t="n"/>
      <c r="G305" s="51" t="n"/>
      <c r="H305" s="51" t="n"/>
    </row>
    <row r="306">
      <c r="A306" s="80" t="n"/>
      <c r="B306" s="51" t="n"/>
      <c r="C306" s="65" t="n"/>
      <c r="D306" s="65" t="n"/>
      <c r="E306" s="65" t="n"/>
      <c r="F306" s="62" t="n"/>
      <c r="G306" s="51" t="n"/>
      <c r="H306" s="51" t="n"/>
    </row>
    <row r="307">
      <c r="A307" s="80" t="n"/>
      <c r="B307" s="51" t="n"/>
      <c r="C307" s="65" t="n"/>
      <c r="D307" s="65" t="n"/>
      <c r="E307" s="65" t="n"/>
      <c r="F307" s="62" t="n"/>
      <c r="G307" s="51" t="n"/>
      <c r="H307" s="51" t="n"/>
    </row>
    <row r="308">
      <c r="A308" s="80" t="n"/>
      <c r="B308" s="51" t="n"/>
      <c r="C308" s="65" t="n"/>
      <c r="D308" s="65" t="n"/>
      <c r="E308" s="65" t="n"/>
      <c r="F308" s="62" t="n"/>
      <c r="G308" s="51" t="n"/>
      <c r="H308" s="51" t="n"/>
    </row>
    <row r="309">
      <c r="A309" s="80" t="n"/>
      <c r="B309" s="51" t="n"/>
      <c r="C309" s="65" t="n"/>
      <c r="D309" s="65" t="n"/>
      <c r="E309" s="65" t="n"/>
      <c r="F309" s="62" t="n"/>
      <c r="G309" s="51" t="n"/>
      <c r="H309" s="51" t="n"/>
    </row>
    <row r="310">
      <c r="A310" s="80" t="n"/>
      <c r="B310" s="51" t="n"/>
      <c r="C310" s="65" t="n"/>
      <c r="D310" s="65" t="n"/>
      <c r="E310" s="65" t="n"/>
      <c r="F310" s="62" t="n"/>
      <c r="G310" s="51" t="n"/>
      <c r="H310" s="51" t="n"/>
    </row>
    <row r="311">
      <c r="A311" s="80" t="n"/>
      <c r="B311" s="51" t="n"/>
      <c r="C311" s="65" t="n"/>
      <c r="D311" s="65" t="n"/>
      <c r="E311" s="65" t="n"/>
      <c r="F311" s="62" t="n"/>
      <c r="G311" s="51" t="n"/>
      <c r="H311" s="51" t="n"/>
    </row>
    <row r="312">
      <c r="A312" s="80" t="n"/>
      <c r="B312" s="51" t="n"/>
      <c r="C312" s="65" t="n"/>
      <c r="D312" s="65" t="n"/>
      <c r="E312" s="65" t="n"/>
      <c r="F312" s="62" t="n"/>
      <c r="G312" s="51" t="n"/>
      <c r="H312" s="51" t="n"/>
    </row>
    <row r="313">
      <c r="A313" s="80" t="n"/>
      <c r="B313" s="51" t="n"/>
      <c r="C313" s="65" t="n"/>
      <c r="D313" s="65" t="n"/>
      <c r="E313" s="65" t="n"/>
      <c r="F313" s="62" t="n"/>
      <c r="G313" s="51" t="n"/>
      <c r="H313" s="51" t="n"/>
    </row>
    <row r="314">
      <c r="A314" s="80" t="n"/>
      <c r="B314" s="51" t="n"/>
      <c r="C314" s="65" t="n"/>
      <c r="D314" s="65" t="n"/>
      <c r="E314" s="65" t="n"/>
      <c r="F314" s="62" t="n"/>
      <c r="G314" s="51" t="n"/>
      <c r="H314" s="51" t="n"/>
    </row>
    <row r="315">
      <c r="A315" s="80" t="n"/>
      <c r="B315" s="51" t="n"/>
      <c r="C315" s="65" t="n"/>
      <c r="D315" s="65" t="n"/>
      <c r="E315" s="65" t="n"/>
      <c r="F315" s="62" t="n"/>
      <c r="G315" s="51" t="n"/>
      <c r="H315" s="51" t="n"/>
    </row>
    <row r="316">
      <c r="A316" s="80" t="n"/>
      <c r="B316" s="51" t="n"/>
      <c r="C316" s="65" t="n"/>
      <c r="D316" s="65" t="n"/>
      <c r="E316" s="65" t="n"/>
      <c r="F316" s="62" t="n"/>
      <c r="G316" s="51" t="n"/>
      <c r="H316" s="51" t="n"/>
    </row>
    <row r="317">
      <c r="A317" s="80" t="n"/>
      <c r="B317" s="51" t="n"/>
      <c r="C317" s="65" t="n"/>
      <c r="D317" s="65" t="n"/>
      <c r="E317" s="65" t="n"/>
      <c r="F317" s="62" t="n"/>
      <c r="G317" s="51" t="n"/>
      <c r="H317" s="51" t="n"/>
    </row>
    <row r="318">
      <c r="A318" s="80" t="n"/>
      <c r="B318" s="51" t="n"/>
      <c r="C318" s="65" t="n"/>
      <c r="D318" s="65" t="n"/>
      <c r="E318" s="65" t="n"/>
      <c r="F318" s="62" t="n"/>
      <c r="G318" s="51" t="n"/>
      <c r="H318" s="51" t="n"/>
    </row>
    <row r="319">
      <c r="A319" s="80" t="n"/>
      <c r="B319" s="51" t="n"/>
      <c r="C319" s="65" t="n"/>
      <c r="D319" s="65" t="n"/>
      <c r="E319" s="65" t="n"/>
      <c r="F319" s="62" t="n"/>
      <c r="G319" s="51" t="n"/>
      <c r="H319" s="51" t="n"/>
    </row>
    <row r="320">
      <c r="A320" s="80" t="n"/>
      <c r="B320" s="51" t="n"/>
      <c r="C320" s="65" t="n"/>
      <c r="D320" s="65" t="n"/>
      <c r="E320" s="65" t="n"/>
      <c r="F320" s="62" t="n"/>
      <c r="G320" s="51" t="n"/>
      <c r="H320" s="51" t="n"/>
    </row>
    <row r="321">
      <c r="A321" s="80" t="n"/>
      <c r="B321" s="51" t="n"/>
      <c r="C321" s="65" t="n"/>
      <c r="D321" s="65" t="n"/>
      <c r="E321" s="65" t="n"/>
      <c r="F321" s="62" t="n"/>
      <c r="G321" s="51" t="n"/>
      <c r="H321" s="51" t="n"/>
    </row>
    <row r="322">
      <c r="A322" s="80" t="n"/>
      <c r="B322" s="51" t="n"/>
      <c r="C322" s="65" t="n"/>
      <c r="D322" s="65" t="n"/>
      <c r="E322" s="65" t="n"/>
      <c r="F322" s="62" t="n"/>
      <c r="G322" s="51" t="n"/>
      <c r="H322" s="51" t="n"/>
    </row>
    <row r="323">
      <c r="A323" s="80" t="n"/>
      <c r="B323" s="51" t="n"/>
      <c r="C323" s="65" t="n"/>
      <c r="D323" s="65" t="n"/>
      <c r="E323" s="65" t="n"/>
      <c r="F323" s="62" t="n"/>
      <c r="G323" s="51" t="n"/>
      <c r="H323" s="51" t="n"/>
    </row>
    <row r="324">
      <c r="A324" s="80" t="n"/>
      <c r="B324" s="51" t="n"/>
      <c r="C324" s="65" t="n"/>
      <c r="D324" s="65" t="n"/>
      <c r="E324" s="65" t="n"/>
      <c r="F324" s="62" t="n"/>
      <c r="G324" s="51" t="n"/>
      <c r="H324" s="51" t="n"/>
    </row>
    <row r="325">
      <c r="A325" s="80" t="n"/>
      <c r="B325" s="51" t="n"/>
      <c r="C325" s="65" t="n"/>
      <c r="D325" s="65" t="n"/>
      <c r="E325" s="65" t="n"/>
      <c r="F325" s="62" t="n"/>
      <c r="G325" s="51" t="n"/>
      <c r="H325" s="51" t="n"/>
    </row>
    <row r="326">
      <c r="A326" s="80" t="n"/>
      <c r="B326" s="51" t="n"/>
      <c r="C326" s="65" t="n"/>
      <c r="D326" s="65" t="n"/>
      <c r="E326" s="65" t="n"/>
      <c r="F326" s="62" t="n"/>
      <c r="G326" s="51" t="n"/>
      <c r="H326" s="51" t="n"/>
    </row>
    <row r="327">
      <c r="A327" s="80" t="n"/>
      <c r="B327" s="51" t="n"/>
      <c r="C327" s="65" t="n"/>
      <c r="D327" s="65" t="n"/>
      <c r="E327" s="65" t="n"/>
      <c r="F327" s="62" t="n"/>
      <c r="G327" s="51" t="n"/>
      <c r="H327" s="51" t="n"/>
    </row>
    <row r="328">
      <c r="A328" s="80" t="n"/>
      <c r="B328" s="51" t="n"/>
      <c r="C328" s="65" t="n"/>
      <c r="D328" s="65" t="n"/>
      <c r="E328" s="65" t="n"/>
      <c r="F328" s="62" t="n"/>
      <c r="G328" s="51" t="n"/>
      <c r="H328" s="51" t="n"/>
    </row>
    <row r="329">
      <c r="A329" s="80" t="n"/>
      <c r="B329" s="51" t="n"/>
      <c r="C329" s="65" t="n"/>
      <c r="D329" s="65" t="n"/>
      <c r="E329" s="65" t="n"/>
      <c r="F329" s="62" t="n"/>
      <c r="G329" s="51" t="n"/>
      <c r="H329" s="51" t="n"/>
    </row>
    <row r="330">
      <c r="A330" s="80" t="n"/>
      <c r="B330" s="51" t="n"/>
      <c r="C330" s="65" t="n"/>
      <c r="D330" s="65" t="n"/>
      <c r="E330" s="65" t="n"/>
      <c r="F330" s="62" t="n"/>
      <c r="G330" s="51" t="n"/>
      <c r="H330" s="51" t="n"/>
    </row>
    <row r="331">
      <c r="A331" s="80" t="n"/>
      <c r="B331" s="51" t="n"/>
      <c r="C331" s="65" t="n"/>
      <c r="D331" s="65" t="n"/>
      <c r="E331" s="65" t="n"/>
      <c r="F331" s="62" t="n"/>
      <c r="G331" s="51" t="n"/>
      <c r="H331" s="51" t="n"/>
    </row>
    <row r="332">
      <c r="A332" s="80" t="n"/>
      <c r="B332" s="51" t="n"/>
      <c r="C332" s="65" t="n"/>
      <c r="D332" s="65" t="n"/>
      <c r="E332" s="65" t="n"/>
      <c r="F332" s="62" t="n"/>
      <c r="G332" s="51" t="n"/>
      <c r="H332" s="51" t="n"/>
    </row>
    <row r="333">
      <c r="A333" s="80" t="n"/>
      <c r="B333" s="51" t="n"/>
      <c r="C333" s="65" t="n"/>
      <c r="D333" s="65" t="n"/>
      <c r="E333" s="65" t="n"/>
      <c r="F333" s="62" t="n"/>
      <c r="G333" s="51" t="n"/>
      <c r="H333" s="51" t="n"/>
    </row>
    <row r="334">
      <c r="A334" s="80" t="n"/>
      <c r="B334" s="51" t="n"/>
      <c r="C334" s="65" t="n"/>
      <c r="D334" s="65" t="n"/>
      <c r="E334" s="65" t="n"/>
      <c r="F334" s="62" t="n"/>
      <c r="G334" s="51" t="n"/>
      <c r="H334" s="51" t="n"/>
    </row>
    <row r="335">
      <c r="A335" s="80" t="n"/>
      <c r="B335" s="51" t="n"/>
      <c r="C335" s="65" t="n"/>
      <c r="D335" s="65" t="n"/>
      <c r="E335" s="65" t="n"/>
      <c r="F335" s="62" t="n"/>
      <c r="G335" s="51" t="n"/>
      <c r="H335" s="51" t="n"/>
    </row>
    <row r="336">
      <c r="A336" s="80" t="n"/>
      <c r="B336" s="51" t="n"/>
      <c r="C336" s="65" t="n"/>
      <c r="D336" s="65" t="n"/>
      <c r="E336" s="65" t="n"/>
      <c r="F336" s="62" t="n"/>
      <c r="G336" s="51" t="n"/>
      <c r="H336" s="51" t="n"/>
    </row>
    <row r="337">
      <c r="A337" s="80" t="n"/>
      <c r="B337" s="51" t="n"/>
      <c r="C337" s="65" t="n"/>
      <c r="D337" s="65" t="n"/>
      <c r="E337" s="65" t="n"/>
      <c r="F337" s="62" t="n"/>
      <c r="G337" s="51" t="n"/>
      <c r="H337" s="51" t="n"/>
    </row>
    <row r="338">
      <c r="A338" s="80" t="n"/>
      <c r="B338" s="51" t="n"/>
      <c r="C338" s="65" t="n"/>
      <c r="D338" s="65" t="n"/>
      <c r="E338" s="65" t="n"/>
      <c r="F338" s="62" t="n"/>
      <c r="G338" s="51" t="n"/>
      <c r="H338" s="51" t="n"/>
    </row>
    <row r="339">
      <c r="A339" s="80" t="n"/>
      <c r="B339" s="51" t="n"/>
      <c r="C339" s="65" t="n"/>
      <c r="D339" s="65" t="n"/>
      <c r="E339" s="65" t="n"/>
      <c r="F339" s="62" t="n"/>
      <c r="G339" s="51" t="n"/>
      <c r="H339" s="51" t="n"/>
    </row>
    <row r="340">
      <c r="A340" s="80" t="n"/>
      <c r="B340" s="51" t="n"/>
      <c r="C340" s="65" t="n"/>
      <c r="D340" s="65" t="n"/>
      <c r="E340" s="65" t="n"/>
      <c r="F340" s="62" t="n"/>
      <c r="G340" s="51" t="n"/>
      <c r="H340" s="51" t="n"/>
    </row>
    <row r="341">
      <c r="A341" s="80" t="n"/>
      <c r="B341" s="51" t="n"/>
      <c r="C341" s="65" t="n"/>
      <c r="D341" s="65" t="n"/>
      <c r="E341" s="65" t="n"/>
      <c r="F341" s="62" t="n"/>
      <c r="G341" s="51" t="n"/>
      <c r="H341" s="51" t="n"/>
    </row>
    <row r="342">
      <c r="A342" s="80" t="n"/>
      <c r="B342" s="51" t="n"/>
      <c r="C342" s="65" t="n"/>
      <c r="D342" s="65" t="n"/>
      <c r="E342" s="65" t="n"/>
      <c r="F342" s="62" t="n"/>
      <c r="G342" s="51" t="n"/>
      <c r="H342" s="51" t="n"/>
    </row>
    <row r="343">
      <c r="A343" s="80" t="n"/>
      <c r="B343" s="51" t="n"/>
      <c r="C343" s="65" t="n"/>
      <c r="D343" s="65" t="n"/>
      <c r="E343" s="65" t="n"/>
      <c r="F343" s="62" t="n"/>
      <c r="G343" s="51" t="n"/>
      <c r="H343" s="51" t="n"/>
    </row>
    <row r="344">
      <c r="A344" s="80" t="n"/>
      <c r="B344" s="51" t="n"/>
      <c r="C344" s="65" t="n"/>
      <c r="D344" s="65" t="n"/>
      <c r="E344" s="65" t="n"/>
      <c r="F344" s="62" t="n"/>
      <c r="G344" s="51" t="n"/>
      <c r="H344" s="51" t="n"/>
    </row>
    <row r="345">
      <c r="A345" s="80" t="n"/>
      <c r="B345" s="51" t="n"/>
      <c r="C345" s="65" t="n"/>
      <c r="D345" s="65" t="n"/>
      <c r="E345" s="65" t="n"/>
      <c r="F345" s="62" t="n"/>
      <c r="G345" s="51" t="n"/>
      <c r="H345" s="51" t="n"/>
    </row>
    <row r="346">
      <c r="A346" s="80" t="n"/>
      <c r="B346" s="51" t="n"/>
      <c r="C346" s="65" t="n"/>
      <c r="D346" s="65" t="n"/>
      <c r="E346" s="65" t="n"/>
      <c r="F346" s="62" t="n"/>
      <c r="G346" s="51" t="n"/>
      <c r="H346" s="51" t="n"/>
    </row>
    <row r="347">
      <c r="A347" s="80" t="n"/>
      <c r="B347" s="51" t="n"/>
      <c r="C347" s="65" t="n"/>
      <c r="D347" s="65" t="n"/>
      <c r="E347" s="65" t="n"/>
      <c r="F347" s="62" t="n"/>
      <c r="G347" s="51" t="n"/>
      <c r="H347" s="51" t="n"/>
    </row>
    <row r="348">
      <c r="A348" s="80" t="n"/>
      <c r="B348" s="51" t="n"/>
      <c r="C348" s="65" t="n"/>
      <c r="D348" s="65" t="n"/>
      <c r="E348" s="65" t="n"/>
      <c r="F348" s="62" t="n"/>
      <c r="G348" s="51" t="n"/>
      <c r="H348" s="51" t="n"/>
    </row>
    <row r="349">
      <c r="A349" s="80" t="n"/>
      <c r="B349" s="51" t="n"/>
      <c r="C349" s="65" t="n"/>
      <c r="D349" s="65" t="n"/>
      <c r="E349" s="65" t="n"/>
      <c r="F349" s="62" t="n"/>
      <c r="G349" s="51" t="n"/>
      <c r="H349" s="51" t="n"/>
    </row>
    <row r="350">
      <c r="A350" s="80" t="n"/>
      <c r="B350" s="51" t="n"/>
      <c r="C350" s="65" t="n"/>
      <c r="D350" s="65" t="n"/>
      <c r="E350" s="65" t="n"/>
      <c r="F350" s="62" t="n"/>
      <c r="G350" s="51" t="n"/>
      <c r="H350" s="51" t="n"/>
    </row>
    <row r="351">
      <c r="A351" s="80" t="n"/>
      <c r="B351" s="51" t="n"/>
      <c r="C351" s="65" t="n"/>
      <c r="D351" s="65" t="n"/>
      <c r="E351" s="65" t="n"/>
      <c r="F351" s="62" t="n"/>
      <c r="G351" s="51" t="n"/>
      <c r="H351" s="51" t="n"/>
    </row>
    <row r="352">
      <c r="A352" s="80" t="n"/>
      <c r="B352" s="51" t="n"/>
      <c r="C352" s="65" t="n"/>
      <c r="D352" s="65" t="n"/>
      <c r="E352" s="65" t="n"/>
      <c r="F352" s="62" t="n"/>
      <c r="G352" s="51" t="n"/>
      <c r="H352" s="51" t="n"/>
    </row>
    <row r="353">
      <c r="A353" s="80" t="n"/>
      <c r="B353" s="51" t="n"/>
      <c r="C353" s="65" t="n"/>
      <c r="D353" s="65" t="n"/>
      <c r="E353" s="65" t="n"/>
      <c r="F353" s="62" t="n"/>
      <c r="G353" s="51" t="n"/>
      <c r="H353" s="51" t="n"/>
    </row>
    <row r="354">
      <c r="A354" s="80" t="n"/>
      <c r="B354" s="51" t="n"/>
      <c r="C354" s="65" t="n"/>
      <c r="D354" s="65" t="n"/>
      <c r="E354" s="65" t="n"/>
      <c r="F354" s="62" t="n"/>
      <c r="G354" s="51" t="n"/>
      <c r="H354" s="51" t="n"/>
    </row>
    <row r="355">
      <c r="A355" s="80" t="n"/>
      <c r="B355" s="51" t="n"/>
      <c r="C355" s="65" t="n"/>
      <c r="D355" s="65" t="n"/>
      <c r="E355" s="65" t="n"/>
      <c r="F355" s="62" t="n"/>
      <c r="G355" s="51" t="n"/>
      <c r="H355" s="51" t="n"/>
    </row>
    <row r="356">
      <c r="A356" s="80" t="n"/>
      <c r="B356" s="51" t="n"/>
      <c r="C356" s="65" t="n"/>
      <c r="D356" s="65" t="n"/>
      <c r="E356" s="65" t="n"/>
      <c r="F356" s="62" t="n"/>
      <c r="G356" s="51" t="n"/>
      <c r="H356" s="51" t="n"/>
    </row>
    <row r="357">
      <c r="A357" s="80" t="n"/>
      <c r="B357" s="51" t="n"/>
      <c r="C357" s="65" t="n"/>
      <c r="D357" s="65" t="n"/>
      <c r="E357" s="65" t="n"/>
      <c r="F357" s="62" t="n"/>
      <c r="G357" s="51" t="n"/>
      <c r="H357" s="51" t="n"/>
    </row>
    <row r="358">
      <c r="A358" s="80" t="n"/>
      <c r="B358" s="51" t="n"/>
      <c r="C358" s="65" t="n"/>
      <c r="D358" s="65" t="n"/>
      <c r="E358" s="65" t="n"/>
      <c r="F358" s="62" t="n"/>
      <c r="G358" s="51" t="n"/>
      <c r="H358" s="51" t="n"/>
    </row>
    <row r="359">
      <c r="A359" s="80" t="n"/>
      <c r="B359" s="51" t="n"/>
      <c r="C359" s="65" t="n"/>
      <c r="D359" s="65" t="n"/>
      <c r="E359" s="65" t="n"/>
      <c r="F359" s="62" t="n"/>
      <c r="G359" s="51" t="n"/>
      <c r="H359" s="51" t="n"/>
    </row>
    <row r="360">
      <c r="A360" s="80" t="n"/>
      <c r="B360" s="51" t="n"/>
      <c r="C360" s="65" t="n"/>
      <c r="D360" s="65" t="n"/>
      <c r="E360" s="65" t="n"/>
      <c r="F360" s="62" t="n"/>
      <c r="G360" s="51" t="n"/>
      <c r="H360" s="51" t="n"/>
    </row>
    <row r="361">
      <c r="A361" s="80" t="n"/>
      <c r="B361" s="51" t="n"/>
      <c r="C361" s="65" t="n"/>
      <c r="D361" s="65" t="n"/>
      <c r="E361" s="65" t="n"/>
      <c r="F361" s="62" t="n"/>
      <c r="G361" s="51" t="n"/>
      <c r="H361" s="51" t="n"/>
    </row>
    <row r="362">
      <c r="A362" s="80" t="n"/>
      <c r="B362" s="51" t="n"/>
      <c r="C362" s="65" t="n"/>
      <c r="D362" s="65" t="n"/>
      <c r="E362" s="65" t="n"/>
      <c r="F362" s="62" t="n"/>
      <c r="G362" s="51" t="n"/>
      <c r="H362" s="51" t="n"/>
    </row>
    <row r="363">
      <c r="A363" s="80" t="n"/>
      <c r="B363" s="51" t="n"/>
      <c r="C363" s="65" t="n"/>
      <c r="D363" s="65" t="n"/>
      <c r="E363" s="65" t="n"/>
      <c r="F363" s="62" t="n"/>
      <c r="G363" s="51" t="n"/>
      <c r="H363" s="51" t="n"/>
    </row>
    <row r="364">
      <c r="A364" s="80" t="n"/>
      <c r="B364" s="51" t="n"/>
      <c r="C364" s="65" t="n"/>
      <c r="D364" s="65" t="n"/>
      <c r="E364" s="65" t="n"/>
      <c r="F364" s="62" t="n"/>
      <c r="G364" s="51" t="n"/>
      <c r="H364" s="51" t="n"/>
    </row>
    <row r="365">
      <c r="A365" s="80" t="n"/>
      <c r="B365" s="51" t="n"/>
      <c r="C365" s="65" t="n"/>
      <c r="D365" s="65" t="n"/>
      <c r="E365" s="65" t="n"/>
      <c r="F365" s="62" t="n"/>
      <c r="G365" s="51" t="n"/>
      <c r="H365" s="51" t="n"/>
    </row>
    <row r="366">
      <c r="A366" s="80" t="n"/>
      <c r="B366" s="51" t="n"/>
      <c r="C366" s="65" t="n"/>
      <c r="D366" s="65" t="n"/>
      <c r="E366" s="65" t="n"/>
      <c r="F366" s="62" t="n"/>
      <c r="G366" s="51" t="n"/>
      <c r="H366" s="51" t="n"/>
    </row>
    <row r="367">
      <c r="A367" s="80" t="n"/>
      <c r="B367" s="51" t="n"/>
      <c r="C367" s="65" t="n"/>
      <c r="D367" s="65" t="n"/>
      <c r="E367" s="65" t="n"/>
      <c r="F367" s="62" t="n"/>
      <c r="G367" s="51" t="n"/>
      <c r="H367" s="51" t="n"/>
    </row>
    <row r="368">
      <c r="A368" s="80" t="n"/>
      <c r="B368" s="51" t="n"/>
      <c r="C368" s="65" t="n"/>
      <c r="D368" s="65" t="n"/>
      <c r="E368" s="65" t="n"/>
      <c r="F368" s="62" t="n"/>
      <c r="G368" s="51" t="n"/>
      <c r="H368" s="51" t="n"/>
    </row>
    <row r="369">
      <c r="A369" s="80" t="n"/>
      <c r="B369" s="51" t="n"/>
      <c r="C369" s="65" t="n"/>
      <c r="D369" s="65" t="n"/>
      <c r="E369" s="65" t="n"/>
      <c r="F369" s="62" t="n"/>
      <c r="G369" s="51" t="n"/>
      <c r="H369" s="51" t="n"/>
    </row>
    <row r="370">
      <c r="A370" s="80" t="n"/>
      <c r="B370" s="51" t="n"/>
      <c r="C370" s="65" t="n"/>
      <c r="D370" s="65" t="n"/>
      <c r="E370" s="65" t="n"/>
      <c r="F370" s="62" t="n"/>
      <c r="G370" s="51" t="n"/>
      <c r="H370" s="51" t="n"/>
    </row>
    <row r="371">
      <c r="A371" s="80" t="n"/>
      <c r="B371" s="51" t="n"/>
      <c r="C371" s="65" t="n"/>
      <c r="D371" s="65" t="n"/>
      <c r="E371" s="65" t="n"/>
      <c r="F371" s="62" t="n"/>
      <c r="G371" s="51" t="n"/>
      <c r="H371" s="51" t="n"/>
    </row>
    <row r="372">
      <c r="A372" s="80" t="n"/>
      <c r="B372" s="51" t="n"/>
      <c r="C372" s="65" t="n"/>
      <c r="D372" s="65" t="n"/>
      <c r="E372" s="65" t="n"/>
      <c r="F372" s="62" t="n"/>
      <c r="G372" s="51" t="n"/>
      <c r="H372" s="51" t="n"/>
    </row>
    <row r="373">
      <c r="A373" s="80" t="n"/>
      <c r="B373" s="51" t="n"/>
      <c r="C373" s="65" t="n"/>
      <c r="D373" s="65" t="n"/>
      <c r="E373" s="65" t="n"/>
      <c r="F373" s="62" t="n"/>
      <c r="G373" s="51" t="n"/>
      <c r="H373" s="51" t="n"/>
    </row>
    <row r="374">
      <c r="A374" s="80" t="n"/>
      <c r="B374" s="51" t="n"/>
      <c r="C374" s="65" t="n"/>
      <c r="D374" s="65" t="n"/>
      <c r="E374" s="65" t="n"/>
      <c r="F374" s="62" t="n"/>
      <c r="G374" s="51" t="n"/>
      <c r="H374" s="51" t="n"/>
    </row>
    <row r="375">
      <c r="A375" s="80" t="n"/>
      <c r="B375" s="51" t="n"/>
      <c r="C375" s="65" t="n"/>
      <c r="D375" s="65" t="n"/>
      <c r="E375" s="65" t="n"/>
      <c r="F375" s="62" t="n"/>
      <c r="G375" s="51" t="n"/>
      <c r="H375" s="51" t="n"/>
    </row>
    <row r="376">
      <c r="A376" s="80" t="n"/>
      <c r="B376" s="51" t="n"/>
      <c r="C376" s="65" t="n"/>
      <c r="D376" s="65" t="n"/>
      <c r="E376" s="65" t="n"/>
      <c r="F376" s="62" t="n"/>
      <c r="G376" s="51" t="n"/>
      <c r="H376" s="51" t="n"/>
    </row>
    <row r="377">
      <c r="A377" s="80" t="n"/>
      <c r="B377" s="51" t="n"/>
      <c r="C377" s="65" t="n"/>
      <c r="D377" s="65" t="n"/>
      <c r="E377" s="65" t="n"/>
      <c r="F377" s="62" t="n"/>
      <c r="G377" s="51" t="n"/>
      <c r="H377" s="51" t="n"/>
    </row>
    <row r="378">
      <c r="A378" s="80" t="n"/>
      <c r="B378" s="51" t="n"/>
      <c r="C378" s="65" t="n"/>
      <c r="D378" s="65" t="n"/>
      <c r="E378" s="65" t="n"/>
      <c r="F378" s="62" t="n"/>
      <c r="G378" s="51" t="n"/>
      <c r="H378" s="51" t="n"/>
    </row>
    <row r="379">
      <c r="A379" s="80" t="n"/>
      <c r="B379" s="51" t="n"/>
      <c r="C379" s="65" t="n"/>
      <c r="D379" s="65" t="n"/>
      <c r="E379" s="65" t="n"/>
      <c r="F379" s="62" t="n"/>
      <c r="G379" s="51" t="n"/>
      <c r="H379" s="51" t="n"/>
    </row>
    <row r="380">
      <c r="A380" s="80" t="n"/>
      <c r="B380" s="51" t="n"/>
      <c r="C380" s="65" t="n"/>
      <c r="D380" s="65" t="n"/>
      <c r="E380" s="65" t="n"/>
      <c r="F380" s="62" t="n"/>
      <c r="G380" s="51" t="n"/>
      <c r="H380" s="51" t="n"/>
    </row>
    <row r="381">
      <c r="A381" s="80" t="n"/>
      <c r="B381" s="51" t="n"/>
      <c r="C381" s="65" t="n"/>
      <c r="D381" s="65" t="n"/>
      <c r="E381" s="65" t="n"/>
      <c r="F381" s="62" t="n"/>
      <c r="G381" s="51" t="n"/>
      <c r="H381" s="51" t="n"/>
    </row>
    <row r="382">
      <c r="A382" s="80" t="n"/>
      <c r="B382" s="51" t="n"/>
      <c r="C382" s="65" t="n"/>
      <c r="D382" s="65" t="n"/>
      <c r="E382" s="65" t="n"/>
      <c r="F382" s="62" t="n"/>
      <c r="G382" s="51" t="n"/>
      <c r="H382" s="51" t="n"/>
    </row>
    <row r="383">
      <c r="A383" s="80" t="n"/>
      <c r="B383" s="51" t="n"/>
      <c r="C383" s="65" t="n"/>
      <c r="D383" s="65" t="n"/>
      <c r="E383" s="65" t="n"/>
      <c r="F383" s="62" t="n"/>
      <c r="G383" s="51" t="n"/>
      <c r="H383" s="51" t="n"/>
    </row>
    <row r="384">
      <c r="A384" s="80" t="n"/>
      <c r="B384" s="51" t="n"/>
      <c r="C384" s="65" t="n"/>
      <c r="D384" s="65" t="n"/>
      <c r="E384" s="65" t="n"/>
      <c r="F384" s="62" t="n"/>
      <c r="G384" s="51" t="n"/>
      <c r="H384" s="51" t="n"/>
    </row>
    <row r="385">
      <c r="A385" s="80" t="n"/>
      <c r="B385" s="51" t="n"/>
      <c r="C385" s="65" t="n"/>
      <c r="D385" s="65" t="n"/>
      <c r="E385" s="65" t="n"/>
      <c r="F385" s="62" t="n"/>
      <c r="G385" s="51" t="n"/>
      <c r="H385" s="51" t="n"/>
    </row>
    <row r="386">
      <c r="A386" s="80" t="n"/>
      <c r="B386" s="51" t="n"/>
      <c r="C386" s="65" t="n"/>
      <c r="D386" s="65" t="n"/>
      <c r="E386" s="65" t="n"/>
      <c r="F386" s="62" t="n"/>
      <c r="G386" s="51" t="n"/>
      <c r="H386" s="51" t="n"/>
    </row>
    <row r="387">
      <c r="A387" s="80" t="n"/>
      <c r="B387" s="51" t="n"/>
      <c r="C387" s="65" t="n"/>
      <c r="D387" s="65" t="n"/>
      <c r="E387" s="65" t="n"/>
      <c r="F387" s="62" t="n"/>
      <c r="G387" s="51" t="n"/>
      <c r="H387" s="51" t="n"/>
    </row>
    <row r="388">
      <c r="A388" s="80" t="n"/>
      <c r="B388" s="51" t="n"/>
      <c r="C388" s="65" t="n"/>
      <c r="D388" s="65" t="n"/>
      <c r="E388" s="65" t="n"/>
      <c r="F388" s="62" t="n"/>
      <c r="G388" s="51" t="n"/>
      <c r="H388" s="51" t="n"/>
    </row>
    <row r="389">
      <c r="A389" s="80" t="n"/>
      <c r="B389" s="51" t="n"/>
      <c r="C389" s="65" t="n"/>
      <c r="D389" s="65" t="n"/>
      <c r="E389" s="65" t="n"/>
      <c r="F389" s="62" t="n"/>
      <c r="G389" s="51" t="n"/>
      <c r="H389" s="51" t="n"/>
    </row>
    <row r="390">
      <c r="A390" s="80" t="n"/>
      <c r="B390" s="51" t="n"/>
      <c r="C390" s="65" t="n"/>
      <c r="D390" s="65" t="n"/>
      <c r="E390" s="65" t="n"/>
      <c r="F390" s="62" t="n"/>
      <c r="G390" s="51" t="n"/>
      <c r="H390" s="51" t="n"/>
    </row>
    <row r="391">
      <c r="A391" s="80" t="n"/>
      <c r="B391" s="51" t="n"/>
      <c r="C391" s="65" t="n"/>
      <c r="D391" s="65" t="n"/>
      <c r="E391" s="65" t="n"/>
      <c r="F391" s="62" t="n"/>
      <c r="G391" s="51" t="n"/>
      <c r="H391" s="51" t="n"/>
    </row>
    <row r="392">
      <c r="A392" s="80" t="n"/>
      <c r="B392" s="51" t="n"/>
      <c r="C392" s="65" t="n"/>
      <c r="D392" s="65" t="n"/>
      <c r="E392" s="65" t="n"/>
      <c r="F392" s="62" t="n"/>
      <c r="G392" s="51" t="n"/>
      <c r="H392" s="51" t="n"/>
    </row>
    <row r="393">
      <c r="A393" s="80" t="n"/>
      <c r="B393" s="51" t="n"/>
      <c r="C393" s="65" t="n"/>
      <c r="D393" s="65" t="n"/>
      <c r="E393" s="65" t="n"/>
      <c r="F393" s="62" t="n"/>
      <c r="G393" s="51" t="n"/>
      <c r="H393" s="51" t="n"/>
    </row>
    <row r="394">
      <c r="A394" s="80" t="n"/>
      <c r="B394" s="51" t="n"/>
      <c r="C394" s="65" t="n"/>
      <c r="D394" s="65" t="n"/>
      <c r="E394" s="65" t="n"/>
      <c r="F394" s="62" t="n"/>
      <c r="G394" s="51" t="n"/>
      <c r="H394" s="51" t="n"/>
    </row>
    <row r="395">
      <c r="A395" s="80" t="n"/>
      <c r="B395" s="51" t="n"/>
      <c r="C395" s="65" t="n"/>
      <c r="D395" s="65" t="n"/>
      <c r="E395" s="65" t="n"/>
      <c r="F395" s="62" t="n"/>
      <c r="G395" s="51" t="n"/>
      <c r="H395" s="51" t="n"/>
    </row>
    <row r="396">
      <c r="A396" s="80" t="n"/>
      <c r="B396" s="51" t="n"/>
      <c r="C396" s="65" t="n"/>
      <c r="D396" s="65" t="n"/>
      <c r="E396" s="65" t="n"/>
      <c r="F396" s="62" t="n"/>
      <c r="G396" s="51" t="n"/>
      <c r="H396" s="51" t="n"/>
    </row>
    <row r="397">
      <c r="A397" s="80" t="n"/>
      <c r="B397" s="51" t="n"/>
      <c r="C397" s="65" t="n"/>
      <c r="D397" s="65" t="n"/>
      <c r="E397" s="65" t="n"/>
      <c r="F397" s="62" t="n"/>
      <c r="G397" s="51" t="n"/>
      <c r="H397" s="51" t="n"/>
    </row>
    <row r="398">
      <c r="A398" s="80" t="n"/>
      <c r="B398" s="51" t="n"/>
      <c r="C398" s="65" t="n"/>
      <c r="D398" s="65" t="n"/>
      <c r="E398" s="65" t="n"/>
      <c r="F398" s="62" t="n"/>
      <c r="G398" s="51" t="n"/>
      <c r="H398" s="51" t="n"/>
    </row>
    <row r="399">
      <c r="A399" s="80" t="n"/>
      <c r="B399" s="51" t="n"/>
      <c r="C399" s="65" t="n"/>
      <c r="D399" s="65" t="n"/>
      <c r="E399" s="65" t="n"/>
      <c r="F399" s="62" t="n"/>
      <c r="G399" s="51" t="n"/>
      <c r="H399" s="51" t="n"/>
    </row>
    <row r="400">
      <c r="A400" s="80" t="n"/>
      <c r="B400" s="51" t="n"/>
      <c r="C400" s="65" t="n"/>
      <c r="D400" s="65" t="n"/>
      <c r="E400" s="65" t="n"/>
      <c r="F400" s="62" t="n"/>
      <c r="G400" s="51" t="n"/>
      <c r="H400" s="51" t="n"/>
    </row>
    <row r="401">
      <c r="A401" s="80" t="n"/>
      <c r="B401" s="51" t="n"/>
      <c r="C401" s="65" t="n"/>
      <c r="D401" s="65" t="n"/>
      <c r="E401" s="65" t="n"/>
      <c r="F401" s="62" t="n"/>
      <c r="G401" s="51" t="n"/>
      <c r="H401" s="51" t="n"/>
    </row>
    <row r="402">
      <c r="A402" s="80" t="n"/>
      <c r="B402" s="51" t="n"/>
      <c r="C402" s="65" t="n"/>
      <c r="D402" s="65" t="n"/>
      <c r="E402" s="65" t="n"/>
      <c r="F402" s="62" t="n"/>
      <c r="G402" s="51" t="n"/>
      <c r="H402" s="51" t="n"/>
    </row>
    <row r="403">
      <c r="A403" s="80" t="n"/>
      <c r="B403" s="51" t="n"/>
      <c r="C403" s="65" t="n"/>
      <c r="D403" s="65" t="n"/>
      <c r="E403" s="65" t="n"/>
      <c r="F403" s="62" t="n"/>
      <c r="G403" s="51" t="n"/>
      <c r="H403" s="51" t="n"/>
    </row>
    <row r="404">
      <c r="A404" s="80" t="n"/>
      <c r="B404" s="51" t="n"/>
      <c r="C404" s="65" t="n"/>
      <c r="D404" s="65" t="n"/>
      <c r="E404" s="65" t="n"/>
      <c r="F404" s="62" t="n"/>
      <c r="G404" s="51" t="n"/>
      <c r="H404" s="51" t="n"/>
    </row>
    <row r="405">
      <c r="A405" s="80" t="n"/>
      <c r="B405" s="51" t="n"/>
      <c r="C405" s="65" t="n"/>
      <c r="D405" s="65" t="n"/>
      <c r="E405" s="65" t="n"/>
      <c r="F405" s="62" t="n"/>
      <c r="G405" s="51" t="n"/>
      <c r="H405" s="51" t="n"/>
    </row>
    <row r="406">
      <c r="A406" s="80" t="n"/>
      <c r="B406" s="51" t="n"/>
      <c r="C406" s="65" t="n"/>
      <c r="D406" s="65" t="n"/>
      <c r="E406" s="65" t="n"/>
      <c r="F406" s="62" t="n"/>
      <c r="G406" s="51" t="n"/>
      <c r="H406" s="51" t="n"/>
    </row>
    <row r="407">
      <c r="A407" s="80" t="n"/>
      <c r="B407" s="51" t="n"/>
      <c r="C407" s="65" t="n"/>
      <c r="D407" s="65" t="n"/>
      <c r="E407" s="65" t="n"/>
      <c r="F407" s="62" t="n"/>
      <c r="G407" s="51" t="n"/>
      <c r="H407" s="51" t="n"/>
    </row>
    <row r="408">
      <c r="A408" s="80" t="n"/>
      <c r="B408" s="51" t="n"/>
      <c r="C408" s="65" t="n"/>
      <c r="D408" s="65" t="n"/>
      <c r="E408" s="65" t="n"/>
      <c r="F408" s="62" t="n"/>
      <c r="G408" s="51" t="n"/>
      <c r="H408" s="51" t="n"/>
    </row>
    <row r="409">
      <c r="A409" s="80" t="n"/>
      <c r="B409" s="51" t="n"/>
      <c r="C409" s="65" t="n"/>
      <c r="D409" s="65" t="n"/>
      <c r="E409" s="65" t="n"/>
      <c r="F409" s="62" t="n"/>
      <c r="G409" s="51" t="n"/>
      <c r="H409" s="51" t="n"/>
    </row>
    <row r="410">
      <c r="A410" s="80" t="n"/>
      <c r="B410" s="51" t="n"/>
      <c r="C410" s="65" t="n"/>
      <c r="D410" s="65" t="n"/>
      <c r="E410" s="65" t="n"/>
      <c r="F410" s="62" t="n"/>
      <c r="G410" s="51" t="n"/>
      <c r="H410" s="51" t="n"/>
    </row>
    <row r="411">
      <c r="A411" s="80" t="n"/>
      <c r="B411" s="51" t="n"/>
      <c r="C411" s="65" t="n"/>
      <c r="D411" s="65" t="n"/>
      <c r="E411" s="65" t="n"/>
      <c r="F411" s="62" t="n"/>
      <c r="G411" s="51" t="n"/>
      <c r="H411" s="51" t="n"/>
    </row>
    <row r="412">
      <c r="A412" s="80" t="n"/>
      <c r="B412" s="51" t="n"/>
      <c r="C412" s="65" t="n"/>
      <c r="D412" s="65" t="n"/>
      <c r="E412" s="65" t="n"/>
      <c r="F412" s="62" t="n"/>
      <c r="G412" s="51" t="n"/>
      <c r="H412" s="51" t="n"/>
    </row>
    <row r="413">
      <c r="A413" s="80" t="n"/>
      <c r="B413" s="51" t="n"/>
      <c r="C413" s="65" t="n"/>
      <c r="D413" s="65" t="n"/>
      <c r="E413" s="65" t="n"/>
      <c r="F413" s="62" t="n"/>
      <c r="G413" s="51" t="n"/>
      <c r="H413" s="51" t="n"/>
    </row>
    <row r="414">
      <c r="A414" s="80" t="n"/>
      <c r="B414" s="51" t="n"/>
      <c r="C414" s="65" t="n"/>
      <c r="D414" s="65" t="n"/>
      <c r="E414" s="65" t="n"/>
      <c r="F414" s="62" t="n"/>
      <c r="G414" s="51" t="n"/>
      <c r="H414" s="51" t="n"/>
    </row>
    <row r="415">
      <c r="A415" s="80" t="n"/>
      <c r="B415" s="51" t="n"/>
      <c r="C415" s="65" t="n"/>
      <c r="D415" s="65" t="n"/>
      <c r="E415" s="65" t="n"/>
      <c r="F415" s="62" t="n"/>
      <c r="G415" s="51" t="n"/>
      <c r="H415" s="51" t="n"/>
    </row>
    <row r="416">
      <c r="A416" s="80" t="n"/>
      <c r="B416" s="51" t="n"/>
      <c r="C416" s="65" t="n"/>
      <c r="D416" s="65" t="n"/>
      <c r="E416" s="65" t="n"/>
      <c r="F416" s="62" t="n"/>
      <c r="G416" s="51" t="n"/>
      <c r="H416" s="51" t="n"/>
    </row>
    <row r="417">
      <c r="A417" s="80" t="n"/>
      <c r="B417" s="51" t="n"/>
      <c r="C417" s="65" t="n"/>
      <c r="D417" s="65" t="n"/>
      <c r="E417" s="65" t="n"/>
      <c r="F417" s="62" t="n"/>
      <c r="G417" s="51" t="n"/>
      <c r="H417" s="51" t="n"/>
    </row>
    <row r="418">
      <c r="A418" s="80" t="n"/>
      <c r="B418" s="51" t="n"/>
      <c r="C418" s="65" t="n"/>
      <c r="D418" s="65" t="n"/>
      <c r="E418" s="65" t="n"/>
      <c r="F418" s="62" t="n"/>
      <c r="G418" s="51" t="n"/>
      <c r="H418" s="51" t="n"/>
    </row>
    <row r="419">
      <c r="A419" s="80" t="n"/>
      <c r="B419" s="51" t="n"/>
      <c r="C419" s="65" t="n"/>
      <c r="D419" s="65" t="n"/>
      <c r="E419" s="65" t="n"/>
      <c r="F419" s="62" t="n"/>
      <c r="G419" s="51" t="n"/>
      <c r="H419" s="51" t="n"/>
    </row>
    <row r="420">
      <c r="A420" s="80" t="n"/>
      <c r="B420" s="51" t="n"/>
      <c r="C420" s="65" t="n"/>
      <c r="D420" s="65" t="n"/>
      <c r="E420" s="65" t="n"/>
      <c r="F420" s="62" t="n"/>
      <c r="G420" s="51" t="n"/>
      <c r="H420" s="51" t="n"/>
    </row>
    <row r="421">
      <c r="A421" s="80" t="n"/>
      <c r="B421" s="51" t="n"/>
      <c r="C421" s="65" t="n"/>
      <c r="D421" s="65" t="n"/>
      <c r="E421" s="65" t="n"/>
      <c r="F421" s="62" t="n"/>
      <c r="G421" s="51" t="n"/>
      <c r="H421" s="51" t="n"/>
    </row>
    <row r="422">
      <c r="A422" s="80" t="n"/>
      <c r="B422" s="51" t="n"/>
      <c r="C422" s="65" t="n"/>
      <c r="D422" s="65" t="n"/>
      <c r="E422" s="65" t="n"/>
      <c r="F422" s="62" t="n"/>
      <c r="G422" s="51" t="n"/>
      <c r="H422" s="51" t="n"/>
    </row>
    <row r="423">
      <c r="A423" s="80" t="n"/>
      <c r="B423" s="51" t="n"/>
      <c r="C423" s="65" t="n"/>
      <c r="D423" s="65" t="n"/>
      <c r="E423" s="65" t="n"/>
      <c r="F423" s="62" t="n"/>
      <c r="G423" s="51" t="n"/>
      <c r="H423" s="51" t="n"/>
    </row>
    <row r="424">
      <c r="A424" s="80" t="n"/>
      <c r="B424" s="51" t="n"/>
      <c r="C424" s="65" t="n"/>
      <c r="D424" s="65" t="n"/>
      <c r="E424" s="65" t="n"/>
      <c r="F424" s="62" t="n"/>
      <c r="G424" s="51" t="n"/>
      <c r="H424" s="51" t="n"/>
    </row>
    <row r="425">
      <c r="A425" s="80" t="n"/>
      <c r="B425" s="51" t="n"/>
      <c r="C425" s="65" t="n"/>
      <c r="D425" s="65" t="n"/>
      <c r="E425" s="65" t="n"/>
      <c r="F425" s="62" t="n"/>
      <c r="G425" s="51" t="n"/>
      <c r="H425" s="51" t="n"/>
    </row>
    <row r="426">
      <c r="A426" s="80" t="n"/>
      <c r="B426" s="51" t="n"/>
      <c r="C426" s="65" t="n"/>
      <c r="D426" s="65" t="n"/>
      <c r="E426" s="65" t="n"/>
      <c r="F426" s="62" t="n"/>
      <c r="G426" s="51" t="n"/>
      <c r="H426" s="51" t="n"/>
    </row>
    <row r="427">
      <c r="A427" s="80" t="n"/>
      <c r="B427" s="51" t="n"/>
      <c r="C427" s="65" t="n"/>
      <c r="D427" s="65" t="n"/>
      <c r="E427" s="65" t="n"/>
      <c r="F427" s="62" t="n"/>
      <c r="G427" s="51" t="n"/>
      <c r="H427" s="51" t="n"/>
    </row>
    <row r="428">
      <c r="A428" s="80" t="n"/>
      <c r="B428" s="51" t="n"/>
      <c r="C428" s="65" t="n"/>
      <c r="D428" s="65" t="n"/>
      <c r="E428" s="65" t="n"/>
      <c r="F428" s="62" t="n"/>
      <c r="G428" s="51" t="n"/>
      <c r="H428" s="51" t="n"/>
    </row>
    <row r="429">
      <c r="A429" s="80" t="n"/>
      <c r="B429" s="51" t="n"/>
      <c r="C429" s="65" t="n"/>
      <c r="D429" s="65" t="n"/>
      <c r="E429" s="65" t="n"/>
      <c r="F429" s="62" t="n"/>
      <c r="G429" s="51" t="n"/>
      <c r="H429" s="51" t="n"/>
    </row>
    <row r="430">
      <c r="A430" s="80" t="n"/>
      <c r="B430" s="51" t="n"/>
      <c r="C430" s="65" t="n"/>
      <c r="D430" s="65" t="n"/>
      <c r="E430" s="65" t="n"/>
      <c r="F430" s="62" t="n"/>
      <c r="G430" s="51" t="n"/>
      <c r="H430" s="51" t="n"/>
    </row>
    <row r="431">
      <c r="A431" s="80" t="n"/>
      <c r="B431" s="51" t="n"/>
      <c r="C431" s="65" t="n"/>
      <c r="D431" s="65" t="n"/>
      <c r="E431" s="65" t="n"/>
      <c r="F431" s="62" t="n"/>
      <c r="G431" s="51" t="n"/>
      <c r="H431" s="51" t="n"/>
    </row>
    <row r="432">
      <c r="A432" s="80" t="n"/>
      <c r="B432" s="51" t="n"/>
      <c r="C432" s="65" t="n"/>
      <c r="D432" s="65" t="n"/>
      <c r="E432" s="65" t="n"/>
      <c r="F432" s="62" t="n"/>
      <c r="G432" s="51" t="n"/>
      <c r="H432" s="51" t="n"/>
    </row>
    <row r="433">
      <c r="A433" s="80" t="n"/>
      <c r="B433" s="51" t="n"/>
      <c r="C433" s="65" t="n"/>
      <c r="D433" s="65" t="n"/>
      <c r="E433" s="65" t="n"/>
      <c r="F433" s="62" t="n"/>
      <c r="G433" s="51" t="n"/>
      <c r="H433" s="51" t="n"/>
    </row>
    <row r="434">
      <c r="A434" s="80" t="n"/>
      <c r="B434" s="51" t="n"/>
      <c r="C434" s="65" t="n"/>
      <c r="D434" s="65" t="n"/>
      <c r="E434" s="65" t="n"/>
      <c r="F434" s="62" t="n"/>
      <c r="G434" s="51" t="n"/>
      <c r="H434" s="51" t="n"/>
    </row>
    <row r="435">
      <c r="A435" s="80" t="n"/>
      <c r="B435" s="51" t="n"/>
      <c r="C435" s="65" t="n"/>
      <c r="D435" s="65" t="n"/>
      <c r="E435" s="65" t="n"/>
      <c r="F435" s="62" t="n"/>
      <c r="G435" s="51" t="n"/>
      <c r="H435" s="51" t="n"/>
    </row>
    <row r="436">
      <c r="A436" s="80" t="n"/>
      <c r="B436" s="51" t="n"/>
      <c r="C436" s="65" t="n"/>
      <c r="D436" s="65" t="n"/>
      <c r="E436" s="65" t="n"/>
      <c r="F436" s="62" t="n"/>
      <c r="G436" s="51" t="n"/>
      <c r="H436" s="51" t="n"/>
    </row>
    <row r="437">
      <c r="A437" s="80" t="n"/>
      <c r="B437" s="51" t="n"/>
      <c r="C437" s="65" t="n"/>
      <c r="D437" s="65" t="n"/>
      <c r="E437" s="65" t="n"/>
      <c r="F437" s="62" t="n"/>
      <c r="G437" s="51" t="n"/>
      <c r="H437" s="51" t="n"/>
    </row>
    <row r="438">
      <c r="A438" s="80" t="n"/>
      <c r="B438" s="51" t="n"/>
      <c r="C438" s="65" t="n"/>
      <c r="D438" s="65" t="n"/>
      <c r="E438" s="65" t="n"/>
      <c r="F438" s="62" t="n"/>
      <c r="G438" s="51" t="n"/>
      <c r="H438" s="51" t="n"/>
    </row>
    <row r="439">
      <c r="A439" s="80" t="n"/>
      <c r="B439" s="51" t="n"/>
      <c r="C439" s="65" t="n"/>
      <c r="D439" s="65" t="n"/>
      <c r="E439" s="65" t="n"/>
      <c r="F439" s="62" t="n"/>
      <c r="G439" s="51" t="n"/>
      <c r="H439" s="51" t="n"/>
    </row>
    <row r="440">
      <c r="A440" s="80" t="n"/>
      <c r="B440" s="51" t="n"/>
      <c r="C440" s="65" t="n"/>
      <c r="D440" s="65" t="n"/>
      <c r="E440" s="65" t="n"/>
      <c r="F440" s="62" t="n"/>
      <c r="G440" s="51" t="n"/>
      <c r="H440" s="51" t="n"/>
    </row>
    <row r="441">
      <c r="A441" s="80" t="n"/>
      <c r="B441" s="51" t="n"/>
      <c r="C441" s="65" t="n"/>
      <c r="D441" s="65" t="n"/>
      <c r="E441" s="65" t="n"/>
      <c r="F441" s="62" t="n"/>
      <c r="G441" s="51" t="n"/>
      <c r="H441" s="51" t="n"/>
    </row>
    <row r="442">
      <c r="A442" s="80" t="n"/>
      <c r="B442" s="51" t="n"/>
      <c r="C442" s="65" t="n"/>
      <c r="D442" s="65" t="n"/>
      <c r="E442" s="65" t="n"/>
      <c r="F442" s="62" t="n"/>
      <c r="G442" s="51" t="n"/>
      <c r="H442" s="51" t="n"/>
    </row>
    <row r="443">
      <c r="A443" s="80" t="n"/>
      <c r="B443" s="51" t="n"/>
      <c r="C443" s="65" t="n"/>
      <c r="D443" s="65" t="n"/>
      <c r="E443" s="65" t="n"/>
      <c r="F443" s="62" t="n"/>
      <c r="G443" s="51" t="n"/>
      <c r="H443" s="51" t="n"/>
    </row>
    <row r="444">
      <c r="A444" s="80" t="n"/>
      <c r="B444" s="51" t="n"/>
      <c r="C444" s="65" t="n"/>
      <c r="D444" s="65" t="n"/>
      <c r="E444" s="65" t="n"/>
      <c r="F444" s="62" t="n"/>
      <c r="G444" s="51" t="n"/>
      <c r="H444" s="51" t="n"/>
    </row>
    <row r="445">
      <c r="A445" s="80" t="n"/>
      <c r="B445" s="51" t="n"/>
      <c r="C445" s="65" t="n"/>
      <c r="D445" s="65" t="n"/>
      <c r="E445" s="65" t="n"/>
      <c r="F445" s="62" t="n"/>
      <c r="G445" s="51" t="n"/>
      <c r="H445" s="51" t="n"/>
    </row>
    <row r="446">
      <c r="A446" s="80" t="n"/>
      <c r="B446" s="51" t="n"/>
      <c r="C446" s="65" t="n"/>
      <c r="D446" s="65" t="n"/>
      <c r="E446" s="65" t="n"/>
      <c r="F446" s="62" t="n"/>
      <c r="G446" s="51" t="n"/>
      <c r="H446" s="51" t="n"/>
    </row>
    <row r="447">
      <c r="A447" s="80" t="n"/>
      <c r="B447" s="51" t="n"/>
      <c r="C447" s="65" t="n"/>
      <c r="D447" s="65" t="n"/>
      <c r="E447" s="65" t="n"/>
      <c r="F447" s="62" t="n"/>
      <c r="G447" s="51" t="n"/>
      <c r="H447" s="51" t="n"/>
    </row>
    <row r="448">
      <c r="A448" s="80" t="n"/>
      <c r="B448" s="51" t="n"/>
      <c r="C448" s="65" t="n"/>
      <c r="D448" s="65" t="n"/>
      <c r="E448" s="65" t="n"/>
      <c r="F448" s="62" t="n"/>
      <c r="G448" s="51" t="n"/>
      <c r="H448" s="51" t="n"/>
    </row>
    <row r="449">
      <c r="A449" s="80" t="n"/>
      <c r="B449" s="51" t="n"/>
      <c r="C449" s="65" t="n"/>
      <c r="D449" s="65" t="n"/>
      <c r="E449" s="65" t="n"/>
      <c r="F449" s="62" t="n"/>
      <c r="G449" s="51" t="n"/>
      <c r="H449" s="51" t="n"/>
    </row>
    <row r="450">
      <c r="A450" s="80" t="n"/>
      <c r="B450" s="51" t="n"/>
      <c r="C450" s="65" t="n"/>
      <c r="D450" s="65" t="n"/>
      <c r="E450" s="65" t="n"/>
      <c r="F450" s="62" t="n"/>
      <c r="G450" s="51" t="n"/>
      <c r="H450" s="51" t="n"/>
    </row>
    <row r="451">
      <c r="A451" s="80" t="n"/>
      <c r="B451" s="51" t="n"/>
      <c r="C451" s="65" t="n"/>
      <c r="D451" s="65" t="n"/>
      <c r="E451" s="65" t="n"/>
      <c r="F451" s="62" t="n"/>
      <c r="G451" s="51" t="n"/>
      <c r="H451" s="51" t="n"/>
    </row>
    <row r="452">
      <c r="A452" s="80" t="n"/>
      <c r="B452" s="51" t="n"/>
      <c r="C452" s="65" t="n"/>
      <c r="D452" s="65" t="n"/>
      <c r="E452" s="65" t="n"/>
      <c r="F452" s="62" t="n"/>
      <c r="G452" s="51" t="n"/>
      <c r="H452" s="51" t="n"/>
    </row>
    <row r="453">
      <c r="A453" s="80" t="n"/>
      <c r="B453" s="51" t="n"/>
      <c r="C453" s="65" t="n"/>
      <c r="D453" s="65" t="n"/>
      <c r="E453" s="65" t="n"/>
      <c r="F453" s="62" t="n"/>
      <c r="G453" s="51" t="n"/>
      <c r="H453" s="51" t="n"/>
    </row>
    <row r="454">
      <c r="A454" s="80" t="n"/>
      <c r="B454" s="51" t="n"/>
      <c r="C454" s="65" t="n"/>
      <c r="D454" s="65" t="n"/>
      <c r="E454" s="65" t="n"/>
      <c r="F454" s="62" t="n"/>
      <c r="G454" s="51" t="n"/>
      <c r="H454" s="51" t="n"/>
    </row>
    <row r="455">
      <c r="A455" s="80" t="n"/>
      <c r="B455" s="51" t="n"/>
      <c r="C455" s="65" t="n"/>
      <c r="D455" s="65" t="n"/>
      <c r="E455" s="65" t="n"/>
      <c r="F455" s="62" t="n"/>
      <c r="G455" s="51" t="n"/>
      <c r="H455" s="51" t="n"/>
    </row>
    <row r="456">
      <c r="A456" s="80" t="n"/>
      <c r="B456" s="51" t="n"/>
      <c r="C456" s="65" t="n"/>
      <c r="D456" s="65" t="n"/>
      <c r="E456" s="65" t="n"/>
      <c r="F456" s="62" t="n"/>
      <c r="G456" s="51" t="n"/>
      <c r="H456" s="51" t="n"/>
    </row>
    <row r="457">
      <c r="A457" s="80" t="n"/>
      <c r="B457" s="51" t="n"/>
      <c r="C457" s="65" t="n"/>
      <c r="D457" s="65" t="n"/>
      <c r="E457" s="65" t="n"/>
      <c r="F457" s="62" t="n"/>
      <c r="G457" s="51" t="n"/>
      <c r="H457" s="51" t="n"/>
    </row>
    <row r="458">
      <c r="A458" s="80" t="n"/>
      <c r="B458" s="51" t="n"/>
      <c r="C458" s="65" t="n"/>
      <c r="D458" s="65" t="n"/>
      <c r="E458" s="65" t="n"/>
      <c r="F458" s="62" t="n"/>
      <c r="G458" s="51" t="n"/>
      <c r="H458" s="51" t="n"/>
    </row>
    <row r="459">
      <c r="A459" s="80" t="n"/>
      <c r="B459" s="51" t="n"/>
      <c r="C459" s="65" t="n"/>
      <c r="D459" s="65" t="n"/>
      <c r="E459" s="65" t="n"/>
      <c r="F459" s="62" t="n"/>
      <c r="G459" s="51" t="n"/>
      <c r="H459" s="51" t="n"/>
    </row>
    <row r="460">
      <c r="A460" s="80" t="n"/>
      <c r="B460" s="51" t="n"/>
      <c r="C460" s="65" t="n"/>
      <c r="D460" s="65" t="n"/>
      <c r="E460" s="65" t="n"/>
      <c r="F460" s="62" t="n"/>
      <c r="G460" s="51" t="n"/>
      <c r="H460" s="51" t="n"/>
    </row>
    <row r="461">
      <c r="A461" s="80" t="n"/>
      <c r="B461" s="51" t="n"/>
      <c r="C461" s="65" t="n"/>
      <c r="D461" s="65" t="n"/>
      <c r="E461" s="65" t="n"/>
      <c r="F461" s="62" t="n"/>
      <c r="G461" s="51" t="n"/>
      <c r="H461" s="51" t="n"/>
    </row>
    <row r="462">
      <c r="A462" s="80" t="n"/>
      <c r="B462" s="51" t="n"/>
      <c r="C462" s="65" t="n"/>
      <c r="D462" s="65" t="n"/>
      <c r="E462" s="65" t="n"/>
      <c r="F462" s="62" t="n"/>
      <c r="G462" s="51" t="n"/>
      <c r="H462" s="51" t="n"/>
    </row>
    <row r="463">
      <c r="A463" s="80" t="n"/>
      <c r="B463" s="51" t="n"/>
      <c r="C463" s="65" t="n"/>
      <c r="D463" s="65" t="n"/>
      <c r="E463" s="65" t="n"/>
      <c r="F463" s="62" t="n"/>
      <c r="G463" s="51" t="n"/>
      <c r="H463" s="51" t="n"/>
    </row>
    <row r="464">
      <c r="A464" s="80" t="n"/>
      <c r="B464" s="51" t="n"/>
      <c r="C464" s="65" t="n"/>
      <c r="D464" s="65" t="n"/>
      <c r="E464" s="65" t="n"/>
      <c r="F464" s="62" t="n"/>
      <c r="G464" s="51" t="n"/>
      <c r="H464" s="51" t="n"/>
    </row>
    <row r="465">
      <c r="A465" s="80" t="n"/>
      <c r="B465" s="51" t="n"/>
      <c r="C465" s="65" t="n"/>
      <c r="D465" s="65" t="n"/>
      <c r="E465" s="65" t="n"/>
      <c r="F465" s="62" t="n"/>
      <c r="G465" s="51" t="n"/>
      <c r="H465" s="51" t="n"/>
    </row>
    <row r="466">
      <c r="A466" s="80" t="n"/>
      <c r="B466" s="51" t="n"/>
      <c r="C466" s="65" t="n"/>
      <c r="D466" s="65" t="n"/>
      <c r="E466" s="65" t="n"/>
      <c r="F466" s="62" t="n"/>
      <c r="G466" s="51" t="n"/>
      <c r="H466" s="51" t="n"/>
    </row>
    <row r="467">
      <c r="A467" s="80" t="n"/>
      <c r="B467" s="51" t="n"/>
      <c r="C467" s="65" t="n"/>
      <c r="D467" s="65" t="n"/>
      <c r="E467" s="65" t="n"/>
      <c r="F467" s="62" t="n"/>
      <c r="G467" s="51" t="n"/>
      <c r="H467" s="51" t="n"/>
    </row>
    <row r="468">
      <c r="A468" s="80" t="n"/>
      <c r="B468" s="51" t="n"/>
      <c r="C468" s="65" t="n"/>
      <c r="D468" s="65" t="n"/>
      <c r="E468" s="65" t="n"/>
      <c r="F468" s="62" t="n"/>
      <c r="G468" s="51" t="n"/>
      <c r="H468" s="51" t="n"/>
    </row>
    <row r="469">
      <c r="A469" s="80" t="n"/>
      <c r="B469" s="51" t="n"/>
      <c r="C469" s="65" t="n"/>
      <c r="D469" s="65" t="n"/>
      <c r="E469" s="65" t="n"/>
      <c r="F469" s="62" t="n"/>
      <c r="G469" s="51" t="n"/>
      <c r="H469" s="51" t="n"/>
    </row>
    <row r="470">
      <c r="A470" s="80" t="n"/>
      <c r="B470" s="51" t="n"/>
      <c r="C470" s="65" t="n"/>
      <c r="D470" s="65" t="n"/>
      <c r="E470" s="65" t="n"/>
      <c r="F470" s="62" t="n"/>
      <c r="G470" s="51" t="n"/>
      <c r="H470" s="51" t="n"/>
    </row>
    <row r="471">
      <c r="A471" s="80" t="n"/>
      <c r="B471" s="51" t="n"/>
      <c r="C471" s="65" t="n"/>
      <c r="D471" s="65" t="n"/>
      <c r="E471" s="65" t="n"/>
      <c r="F471" s="62" t="n"/>
      <c r="G471" s="51" t="n"/>
      <c r="H471" s="51" t="n"/>
    </row>
    <row r="472">
      <c r="A472" s="80" t="n"/>
      <c r="B472" s="51" t="n"/>
      <c r="C472" s="65" t="n"/>
      <c r="D472" s="65" t="n"/>
      <c r="E472" s="65" t="n"/>
      <c r="F472" s="62" t="n"/>
      <c r="G472" s="51" t="n"/>
      <c r="H472" s="51" t="n"/>
    </row>
    <row r="473">
      <c r="A473" s="80" t="n"/>
      <c r="B473" s="51" t="n"/>
      <c r="C473" s="65" t="n"/>
      <c r="D473" s="65" t="n"/>
      <c r="E473" s="65" t="n"/>
      <c r="F473" s="62" t="n"/>
      <c r="G473" s="51" t="n"/>
      <c r="H473" s="51" t="n"/>
    </row>
    <row r="474">
      <c r="A474" s="80" t="n"/>
      <c r="B474" s="51" t="n"/>
      <c r="C474" s="65" t="n"/>
      <c r="D474" s="65" t="n"/>
      <c r="E474" s="65" t="n"/>
      <c r="F474" s="62" t="n"/>
      <c r="G474" s="51" t="n"/>
      <c r="H474" s="51" t="n"/>
    </row>
    <row r="475">
      <c r="A475" s="80" t="n"/>
      <c r="B475" s="51" t="n"/>
      <c r="C475" s="65" t="n"/>
      <c r="D475" s="65" t="n"/>
      <c r="E475" s="65" t="n"/>
      <c r="F475" s="62" t="n"/>
      <c r="G475" s="51" t="n"/>
      <c r="H475" s="51" t="n"/>
    </row>
    <row r="476">
      <c r="A476" s="80" t="n"/>
      <c r="B476" s="51" t="n"/>
      <c r="C476" s="65" t="n"/>
      <c r="D476" s="65" t="n"/>
      <c r="E476" s="65" t="n"/>
      <c r="F476" s="62" t="n"/>
      <c r="G476" s="51" t="n"/>
      <c r="H476" s="51" t="n"/>
    </row>
    <row r="477">
      <c r="A477" s="80" t="n"/>
      <c r="B477" s="51" t="n"/>
      <c r="C477" s="65" t="n"/>
      <c r="D477" s="65" t="n"/>
      <c r="E477" s="65" t="n"/>
      <c r="F477" s="62" t="n"/>
      <c r="G477" s="51" t="n"/>
      <c r="H477" s="51" t="n"/>
    </row>
    <row r="478">
      <c r="A478" s="80" t="n"/>
      <c r="B478" s="51" t="n"/>
      <c r="C478" s="65" t="n"/>
      <c r="D478" s="65" t="n"/>
      <c r="E478" s="65" t="n"/>
      <c r="F478" s="62" t="n"/>
      <c r="G478" s="51" t="n"/>
      <c r="H478" s="51" t="n"/>
    </row>
    <row r="479">
      <c r="A479" s="80" t="n"/>
      <c r="B479" s="51" t="n"/>
      <c r="C479" s="65" t="n"/>
      <c r="D479" s="65" t="n"/>
      <c r="E479" s="65" t="n"/>
      <c r="F479" s="62" t="n"/>
      <c r="G479" s="51" t="n"/>
      <c r="H479" s="51" t="n"/>
    </row>
    <row r="480">
      <c r="A480" s="80" t="n"/>
      <c r="B480" s="51" t="n"/>
      <c r="C480" s="65" t="n"/>
      <c r="D480" s="65" t="n"/>
      <c r="E480" s="65" t="n"/>
      <c r="F480" s="62" t="n"/>
      <c r="G480" s="51" t="n"/>
      <c r="H480" s="51" t="n"/>
    </row>
    <row r="481">
      <c r="A481" s="80" t="n"/>
      <c r="B481" s="51" t="n"/>
      <c r="C481" s="65" t="n"/>
      <c r="D481" s="65" t="n"/>
      <c r="E481" s="65" t="n"/>
      <c r="F481" s="62" t="n"/>
      <c r="G481" s="51" t="n"/>
      <c r="H481" s="51" t="n"/>
    </row>
    <row r="482">
      <c r="A482" s="80" t="n"/>
      <c r="B482" s="51" t="n"/>
      <c r="C482" s="65" t="n"/>
      <c r="D482" s="65" t="n"/>
      <c r="E482" s="65" t="n"/>
      <c r="F482" s="62" t="n"/>
      <c r="G482" s="51" t="n"/>
      <c r="H482" s="51" t="n"/>
    </row>
    <row r="483">
      <c r="A483" s="80" t="n"/>
      <c r="B483" s="51" t="n"/>
      <c r="C483" s="65" t="n"/>
      <c r="D483" s="65" t="n"/>
      <c r="E483" s="65" t="n"/>
      <c r="F483" s="62" t="n"/>
      <c r="G483" s="51" t="n"/>
      <c r="H483" s="51" t="n"/>
    </row>
    <row r="484">
      <c r="A484" s="80" t="n"/>
      <c r="B484" s="51" t="n"/>
      <c r="C484" s="65" t="n"/>
      <c r="D484" s="65" t="n"/>
      <c r="E484" s="65" t="n"/>
      <c r="F484" s="62" t="n"/>
      <c r="G484" s="51" t="n"/>
      <c r="H484" s="51" t="n"/>
    </row>
    <row r="485">
      <c r="A485" s="80" t="n"/>
      <c r="B485" s="51" t="n"/>
      <c r="C485" s="65" t="n"/>
      <c r="D485" s="65" t="n"/>
      <c r="E485" s="65" t="n"/>
      <c r="F485" s="62" t="n"/>
      <c r="G485" s="51" t="n"/>
      <c r="H485" s="51" t="n"/>
    </row>
    <row r="486">
      <c r="A486" s="80" t="n"/>
      <c r="B486" s="51" t="n"/>
      <c r="C486" s="65" t="n"/>
      <c r="D486" s="65" t="n"/>
      <c r="E486" s="65" t="n"/>
      <c r="F486" s="62" t="n"/>
      <c r="G486" s="51" t="n"/>
      <c r="H486" s="51" t="n"/>
    </row>
    <row r="487">
      <c r="A487" s="80" t="n"/>
      <c r="B487" s="51" t="n"/>
      <c r="C487" s="65" t="n"/>
      <c r="D487" s="65" t="n"/>
      <c r="E487" s="65" t="n"/>
      <c r="F487" s="62" t="n"/>
      <c r="G487" s="51" t="n"/>
      <c r="H487" s="51" t="n"/>
    </row>
    <row r="488">
      <c r="A488" s="80" t="n"/>
      <c r="B488" s="51" t="n"/>
      <c r="C488" s="65" t="n"/>
      <c r="D488" s="65" t="n"/>
      <c r="E488" s="65" t="n"/>
      <c r="F488" s="62" t="n"/>
      <c r="G488" s="51" t="n"/>
      <c r="H488" s="51" t="n"/>
    </row>
    <row r="489">
      <c r="A489" s="80" t="n"/>
      <c r="B489" s="51" t="n"/>
      <c r="C489" s="65" t="n"/>
      <c r="D489" s="65" t="n"/>
      <c r="E489" s="65" t="n"/>
      <c r="F489" s="62" t="n"/>
      <c r="G489" s="51" t="n"/>
      <c r="H489" s="51" t="n"/>
    </row>
    <row r="490">
      <c r="A490" s="80" t="n"/>
      <c r="B490" s="51" t="n"/>
      <c r="C490" s="65" t="n"/>
      <c r="D490" s="65" t="n"/>
      <c r="E490" s="65" t="n"/>
      <c r="F490" s="62" t="n"/>
      <c r="G490" s="51" t="n"/>
      <c r="H490" s="51" t="n"/>
    </row>
    <row r="491">
      <c r="A491" s="80" t="n"/>
      <c r="B491" s="51" t="n"/>
      <c r="C491" s="65" t="n"/>
      <c r="D491" s="65" t="n"/>
      <c r="E491" s="65" t="n"/>
      <c r="F491" s="62" t="n"/>
      <c r="G491" s="51" t="n"/>
      <c r="H491" s="51" t="n"/>
    </row>
    <row r="492">
      <c r="A492" s="80" t="n"/>
      <c r="B492" s="51" t="n"/>
      <c r="C492" s="65" t="n"/>
      <c r="D492" s="65" t="n"/>
      <c r="E492" s="65" t="n"/>
      <c r="F492" s="62" t="n"/>
      <c r="G492" s="51" t="n"/>
      <c r="H492" s="51" t="n"/>
    </row>
    <row r="493">
      <c r="A493" s="80" t="n"/>
      <c r="B493" s="51" t="n"/>
      <c r="C493" s="65" t="n"/>
      <c r="D493" s="65" t="n"/>
      <c r="E493" s="65" t="n"/>
      <c r="F493" s="62" t="n"/>
      <c r="G493" s="51" t="n"/>
      <c r="H493" s="51" t="n"/>
    </row>
    <row r="494">
      <c r="A494" s="80" t="n"/>
      <c r="B494" s="51" t="n"/>
      <c r="C494" s="65" t="n"/>
      <c r="D494" s="65" t="n"/>
      <c r="E494" s="65" t="n"/>
      <c r="F494" s="62" t="n"/>
      <c r="G494" s="51" t="n"/>
      <c r="H494" s="51" t="n"/>
    </row>
    <row r="495">
      <c r="A495" s="80" t="n"/>
      <c r="B495" s="51" t="n"/>
      <c r="C495" s="65" t="n"/>
      <c r="D495" s="65" t="n"/>
      <c r="E495" s="65" t="n"/>
      <c r="F495" s="62" t="n"/>
      <c r="G495" s="51" t="n"/>
      <c r="H495" s="51" t="n"/>
    </row>
    <row r="496">
      <c r="A496" s="80" t="n"/>
      <c r="B496" s="51" t="n"/>
      <c r="C496" s="65" t="n"/>
      <c r="D496" s="65" t="n"/>
      <c r="E496" s="65" t="n"/>
      <c r="F496" s="62" t="n"/>
      <c r="G496" s="51" t="n"/>
      <c r="H496" s="51" t="n"/>
    </row>
    <row r="497">
      <c r="A497" s="80" t="n"/>
      <c r="B497" s="51" t="n"/>
      <c r="C497" s="65" t="n"/>
      <c r="D497" s="65" t="n"/>
      <c r="E497" s="65" t="n"/>
      <c r="F497" s="62" t="n"/>
      <c r="G497" s="51" t="n"/>
      <c r="H497" s="51" t="n"/>
    </row>
    <row r="498">
      <c r="A498" s="80" t="n"/>
      <c r="B498" s="51" t="n"/>
      <c r="C498" s="65" t="n"/>
      <c r="D498" s="65" t="n"/>
      <c r="E498" s="65" t="n"/>
      <c r="F498" s="62" t="n"/>
      <c r="G498" s="51" t="n"/>
      <c r="H498" s="51" t="n"/>
    </row>
    <row r="499">
      <c r="A499" s="80" t="n"/>
      <c r="B499" s="51" t="n"/>
      <c r="C499" s="65" t="n"/>
      <c r="D499" s="65" t="n"/>
      <c r="E499" s="65" t="n"/>
      <c r="F499" s="62" t="n"/>
      <c r="G499" s="51" t="n"/>
      <c r="H499" s="51" t="n"/>
    </row>
    <row r="500">
      <c r="A500" s="80" t="n"/>
      <c r="B500" s="51" t="n"/>
      <c r="C500" s="65" t="n"/>
      <c r="D500" s="65" t="n"/>
      <c r="E500" s="65" t="n"/>
      <c r="F500" s="62" t="n"/>
      <c r="G500" s="51" t="n"/>
      <c r="H500" s="51" t="n"/>
    </row>
    <row r="501">
      <c r="A501" s="80" t="n"/>
      <c r="B501" s="51" t="n"/>
      <c r="C501" s="65" t="n"/>
      <c r="D501" s="65" t="n"/>
      <c r="E501" s="65" t="n"/>
      <c r="F501" s="62" t="n"/>
      <c r="G501" s="51" t="n"/>
      <c r="H501" s="51" t="n"/>
    </row>
    <row r="502">
      <c r="A502" s="80" t="n"/>
      <c r="B502" s="51" t="n"/>
      <c r="C502" s="65" t="n"/>
      <c r="D502" s="65" t="n"/>
      <c r="E502" s="65" t="n"/>
      <c r="F502" s="62" t="n"/>
      <c r="G502" s="51" t="n"/>
      <c r="H502" s="51" t="n"/>
    </row>
    <row r="503">
      <c r="A503" s="80" t="n"/>
      <c r="B503" s="51" t="n"/>
      <c r="C503" s="65" t="n"/>
      <c r="D503" s="65" t="n"/>
      <c r="E503" s="65" t="n"/>
      <c r="F503" s="62" t="n"/>
      <c r="G503" s="51" t="n"/>
      <c r="H503" s="51" t="n"/>
    </row>
    <row r="504">
      <c r="A504" s="80" t="n"/>
      <c r="B504" s="51" t="n"/>
      <c r="C504" s="65" t="n"/>
      <c r="D504" s="65" t="n"/>
      <c r="E504" s="65" t="n"/>
      <c r="F504" s="62" t="n"/>
      <c r="G504" s="51" t="n"/>
      <c r="H504" s="51" t="n"/>
    </row>
    <row r="505">
      <c r="A505" s="80" t="n"/>
      <c r="B505" s="51" t="n"/>
      <c r="C505" s="65" t="n"/>
      <c r="D505" s="65" t="n"/>
      <c r="E505" s="65" t="n"/>
      <c r="F505" s="62" t="n"/>
      <c r="G505" s="51" t="n"/>
      <c r="H505" s="51" t="n"/>
    </row>
  </sheetData>
  <autoFilter ref="A5:H505"/>
  <conditionalFormatting sqref="E6:E505">
    <cfRule type="expression" priority="1" dxfId="12">
      <formula>AND(E6&lt;&gt;"",E6&lt;&gt;"-",E6&lt;&gt;"—",LOWER(E6)&lt;&gt;"none")</formula>
    </cfRule>
  </conditionalFormatting>
  <dataValidations count="2">
    <dataValidation sqref="B6:B505" showDropDown="0" showInputMessage="0" showErrorMessage="1" allowBlank="1" errorTitle="Not in the list" error="Pick a value from the drop-down (lists are on the Settings sheet)." type="list">
      <formula1>=Members</formula1>
    </dataValidation>
    <dataValidation sqref="G6:G505" showDropDown="0" showInputMessage="0" showErrorMessage="1" allowBlank="1" errorTitle="Not in the list" error="Pick a value from the drop-down (lists are on the Settings sheet)." type="list">
      <formula1>=Moods</formula1>
    </dataValidation>
  </dataValidations>
  <hyperlinks>
    <hyperlink xmlns:r="http://schemas.openxmlformats.org/officeDocument/2006/relationships" ref="A3" r:id="rId1"/>
  </hyperlink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12B76A"/>
    <outlinePr summaryBelow="1" summaryRight="1"/>
    <pageSetUpPr fitToPage="1"/>
  </sheetPr>
  <dimension ref="A1:Q158"/>
  <sheetViews>
    <sheetView showGridLines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8" customWidth="1" min="3" max="3"/>
    <col width="36" customWidth="1" min="4" max="4"/>
    <col width="9" customWidth="1" min="5" max="5"/>
    <col width="9" customWidth="1" min="6" max="6"/>
    <col width="9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30" customHeight="1">
      <c r="A1" s="47" t="inlineStr">
        <is>
          <t>Learning Progress</t>
        </is>
      </c>
    </row>
    <row r="2">
      <c r="A2" s="3" t="inlineStr">
        <is>
          <t>Skills the project needs. Each member marks their own column: Not started → In progress → Done.</t>
        </is>
      </c>
    </row>
    <row r="3">
      <c r="A3" s="48" t="inlineStr">
        <is>
          <t>← Back to Start Here</t>
        </is>
      </c>
    </row>
    <row r="5" ht="32" customHeight="1">
      <c r="A5" s="50" t="inlineStr">
        <is>
          <t>#</t>
        </is>
      </c>
      <c r="B5" s="50" t="inlineStr">
        <is>
          <t>Area</t>
        </is>
      </c>
      <c r="C5" s="50" t="inlineStr">
        <is>
          <t>Topic</t>
        </is>
      </c>
      <c r="D5" s="50" t="inlineStr">
        <is>
          <t>Resource (click)</t>
        </is>
      </c>
      <c r="E5" s="50" t="inlineStr">
        <is>
          <t>Est. hours</t>
        </is>
      </c>
      <c r="F5" s="50" t="inlineStr">
        <is>
          <t>Team done</t>
        </is>
      </c>
      <c r="G5" s="50" t="inlineStr">
        <is>
          <t>Team %</t>
        </is>
      </c>
      <c r="H5" s="42">
        <f>IF(INDEX(Members,1)="","Member 1",INDEX(Members,1))</f>
        <v/>
      </c>
      <c r="I5" s="42">
        <f>IF(INDEX(Members,2)="","Member 2",INDEX(Members,2))</f>
        <v/>
      </c>
      <c r="J5" s="42">
        <f>IF(INDEX(Members,3)="","Member 3",INDEX(Members,3))</f>
        <v/>
      </c>
      <c r="K5" s="42">
        <f>IF(INDEX(Members,4)="","Member 4",INDEX(Members,4))</f>
        <v/>
      </c>
      <c r="L5" s="42">
        <f>IF(INDEX(Members,5)="","Member 5",INDEX(Members,5))</f>
        <v/>
      </c>
      <c r="M5" s="42">
        <f>IF(INDEX(Members,6)="","Member 6",INDEX(Members,6))</f>
        <v/>
      </c>
      <c r="N5" s="42">
        <f>IF(INDEX(Members,7)="","Member 7",INDEX(Members,7))</f>
        <v/>
      </c>
      <c r="O5" s="42">
        <f>IF(INDEX(Members,8)="","Member 8",INDEX(Members,8))</f>
        <v/>
      </c>
      <c r="P5" s="42">
        <f>IF(INDEX(Members,9)="","Member 9",INDEX(Members,9))</f>
        <v/>
      </c>
      <c r="Q5" s="42">
        <f>IF(INDEX(Members,10)="","Member 10",INDEX(Members,10))</f>
        <v/>
      </c>
    </row>
    <row r="6">
      <c r="D6" s="81" t="inlineStr">
        <is>
          <t>Topics done →</t>
        </is>
      </c>
      <c r="H6" s="82">
        <f>COUNTIF(H9:H158,"Done")</f>
        <v/>
      </c>
      <c r="I6" s="82">
        <f>COUNTIF(I9:I158,"Done")</f>
        <v/>
      </c>
      <c r="J6" s="82">
        <f>COUNTIF(J9:J158,"Done")</f>
        <v/>
      </c>
      <c r="K6" s="82">
        <f>COUNTIF(K9:K158,"Done")</f>
        <v/>
      </c>
      <c r="L6" s="82">
        <f>COUNTIF(L9:L158,"Done")</f>
        <v/>
      </c>
      <c r="M6" s="82">
        <f>COUNTIF(M9:M158,"Done")</f>
        <v/>
      </c>
      <c r="N6" s="82">
        <f>COUNTIF(N9:N158,"Done")</f>
        <v/>
      </c>
      <c r="O6" s="82">
        <f>COUNTIF(O9:O158,"Done")</f>
        <v/>
      </c>
      <c r="P6" s="82">
        <f>COUNTIF(P9:P158,"Done")</f>
        <v/>
      </c>
      <c r="Q6" s="82">
        <f>COUNTIF(Q9:Q158,"Done")</f>
        <v/>
      </c>
    </row>
    <row r="7">
      <c r="D7" s="81" t="inlineStr">
        <is>
          <t>% of topics done →</t>
        </is>
      </c>
      <c r="H7" s="83">
        <f>IFERROR(COUNTIF(H9:H158,"Done")/COUNTA($C$9:$C$158),0)</f>
        <v/>
      </c>
      <c r="I7" s="83">
        <f>IFERROR(COUNTIF(I9:I158,"Done")/COUNTA($C$9:$C$158),0)</f>
        <v/>
      </c>
      <c r="J7" s="83">
        <f>IFERROR(COUNTIF(J9:J158,"Done")/COUNTA($C$9:$C$158),0)</f>
        <v/>
      </c>
      <c r="K7" s="83">
        <f>IFERROR(COUNTIF(K9:K158,"Done")/COUNTA($C$9:$C$158),0)</f>
        <v/>
      </c>
      <c r="L7" s="83">
        <f>IFERROR(COUNTIF(L9:L158,"Done")/COUNTA($C$9:$C$158),0)</f>
        <v/>
      </c>
      <c r="M7" s="83">
        <f>IFERROR(COUNTIF(M9:M158,"Done")/COUNTA($C$9:$C$158),0)</f>
        <v/>
      </c>
      <c r="N7" s="83">
        <f>IFERROR(COUNTIF(N9:N158,"Done")/COUNTA($C$9:$C$158),0)</f>
        <v/>
      </c>
      <c r="O7" s="83">
        <f>IFERROR(COUNTIF(O9:O158,"Done")/COUNTA($C$9:$C$158),0)</f>
        <v/>
      </c>
      <c r="P7" s="83">
        <f>IFERROR(COUNTIF(P9:P158,"Done")/COUNTA($C$9:$C$158),0)</f>
        <v/>
      </c>
      <c r="Q7" s="83">
        <f>IFERROR(COUNTIF(Q9:Q158,"Done")/COUNTA($C$9:$C$158),0)</f>
        <v/>
      </c>
    </row>
    <row r="8">
      <c r="D8" s="81" t="inlineStr">
        <is>
          <t>Study hours done →</t>
        </is>
      </c>
      <c r="H8" s="84">
        <f>SUMIF(H9:H158,"Done",$E$9:$E$158)</f>
        <v/>
      </c>
      <c r="I8" s="84">
        <f>SUMIF(I9:I158,"Done",$E$9:$E$158)</f>
        <v/>
      </c>
      <c r="J8" s="84">
        <f>SUMIF(J9:J158,"Done",$E$9:$E$158)</f>
        <v/>
      </c>
      <c r="K8" s="84">
        <f>SUMIF(K9:K158,"Done",$E$9:$E$158)</f>
        <v/>
      </c>
      <c r="L8" s="84">
        <f>SUMIF(L9:L158,"Done",$E$9:$E$158)</f>
        <v/>
      </c>
      <c r="M8" s="84">
        <f>SUMIF(M9:M158,"Done",$E$9:$E$158)</f>
        <v/>
      </c>
      <c r="N8" s="84">
        <f>SUMIF(N9:N158,"Done",$E$9:$E$158)</f>
        <v/>
      </c>
      <c r="O8" s="84">
        <f>SUMIF(O9:O158,"Done",$E$9:$E$158)</f>
        <v/>
      </c>
      <c r="P8" s="84">
        <f>SUMIF(P9:P158,"Done",$E$9:$E$158)</f>
        <v/>
      </c>
      <c r="Q8" s="84">
        <f>SUMIF(Q9:Q158,"Done",$E$9:$E$158)</f>
        <v/>
      </c>
    </row>
    <row r="9">
      <c r="A9" s="58">
        <f>IF(C9="","",ROW()-8)</f>
        <v/>
      </c>
      <c r="B9" s="65" t="inlineStr">
        <is>
          <t>Example area</t>
        </is>
      </c>
      <c r="C9" s="65" t="inlineStr">
        <is>
          <t>Example topic</t>
        </is>
      </c>
      <c r="D9" s="85" t="inlineStr">
        <is>
          <t>Example resource (link)</t>
        </is>
      </c>
      <c r="E9" s="51" t="n">
        <v>2</v>
      </c>
      <c r="F9" s="58">
        <f>IF(C9="","",COUNTIF(H9:Q9,"Done"))</f>
        <v/>
      </c>
      <c r="G9" s="66">
        <f>IF(OR(C9="",COUNTA(Members)=0),"",F9/COUNTA(Members))</f>
        <v/>
      </c>
      <c r="H9" s="51" t="inlineStr">
        <is>
          <t>Not started</t>
        </is>
      </c>
      <c r="I9" s="51" t="inlineStr">
        <is>
          <t>Not started</t>
        </is>
      </c>
      <c r="J9" s="51" t="inlineStr">
        <is>
          <t>Not started</t>
        </is>
      </c>
      <c r="K9" s="51" t="n"/>
      <c r="L9" s="51" t="n"/>
      <c r="M9" s="51" t="n"/>
      <c r="N9" s="51" t="n"/>
      <c r="O9" s="51" t="n"/>
      <c r="P9" s="51" t="n"/>
      <c r="Q9" s="51" t="n"/>
    </row>
    <row r="10">
      <c r="A10" s="58">
        <f>IF(C10="","",ROW()-8)</f>
        <v/>
      </c>
      <c r="B10" s="65" t="n"/>
      <c r="C10" s="65" t="n"/>
      <c r="D10" s="65" t="n"/>
      <c r="E10" s="51" t="n"/>
      <c r="F10" s="58">
        <f>IF(C10="","",COUNTIF(H10:Q10,"Done"))</f>
        <v/>
      </c>
      <c r="G10" s="66">
        <f>IF(OR(C10="",COUNTA(Members)=0),"",F10/COUNTA(Members))</f>
        <v/>
      </c>
      <c r="H10" s="51" t="n"/>
      <c r="I10" s="51" t="n"/>
      <c r="J10" s="51" t="n"/>
      <c r="K10" s="51" t="n"/>
      <c r="L10" s="51" t="n"/>
      <c r="M10" s="51" t="n"/>
      <c r="N10" s="51" t="n"/>
      <c r="O10" s="51" t="n"/>
      <c r="P10" s="51" t="n"/>
      <c r="Q10" s="51" t="n"/>
    </row>
    <row r="11">
      <c r="A11" s="58">
        <f>IF(C11="","",ROW()-8)</f>
        <v/>
      </c>
      <c r="B11" s="65" t="n"/>
      <c r="C11" s="65" t="n"/>
      <c r="D11" s="65" t="n"/>
      <c r="E11" s="51" t="n"/>
      <c r="F11" s="58">
        <f>IF(C11="","",COUNTIF(H11:Q11,"Done"))</f>
        <v/>
      </c>
      <c r="G11" s="66">
        <f>IF(OR(C11="",COUNTA(Members)=0),"",F11/COUNTA(Members))</f>
        <v/>
      </c>
      <c r="H11" s="51" t="n"/>
      <c r="I11" s="51" t="n"/>
      <c r="J11" s="51" t="n"/>
      <c r="K11" s="51" t="n"/>
      <c r="L11" s="51" t="n"/>
      <c r="M11" s="51" t="n"/>
      <c r="N11" s="51" t="n"/>
      <c r="O11" s="51" t="n"/>
      <c r="P11" s="51" t="n"/>
      <c r="Q11" s="51" t="n"/>
    </row>
    <row r="12">
      <c r="A12" s="58">
        <f>IF(C12="","",ROW()-8)</f>
        <v/>
      </c>
      <c r="B12" s="65" t="n"/>
      <c r="C12" s="65" t="n"/>
      <c r="D12" s="65" t="n"/>
      <c r="E12" s="51" t="n"/>
      <c r="F12" s="58">
        <f>IF(C12="","",COUNTIF(H12:Q12,"Done"))</f>
        <v/>
      </c>
      <c r="G12" s="66">
        <f>IF(OR(C12="",COUNTA(Members)=0),"",F12/COUNTA(Members))</f>
        <v/>
      </c>
      <c r="H12" s="51" t="n"/>
      <c r="I12" s="51" t="n"/>
      <c r="J12" s="51" t="n"/>
      <c r="K12" s="51" t="n"/>
      <c r="L12" s="51" t="n"/>
      <c r="M12" s="51" t="n"/>
      <c r="N12" s="51" t="n"/>
      <c r="O12" s="51" t="n"/>
      <c r="P12" s="51" t="n"/>
      <c r="Q12" s="51" t="n"/>
    </row>
    <row r="13">
      <c r="A13" s="58">
        <f>IF(C13="","",ROW()-8)</f>
        <v/>
      </c>
      <c r="B13" s="65" t="n"/>
      <c r="C13" s="65" t="n"/>
      <c r="D13" s="65" t="n"/>
      <c r="E13" s="51" t="n"/>
      <c r="F13" s="58">
        <f>IF(C13="","",COUNTIF(H13:Q13,"Done"))</f>
        <v/>
      </c>
      <c r="G13" s="66">
        <f>IF(OR(C13="",COUNTA(Members)=0),"",F13/COUNTA(Members))</f>
        <v/>
      </c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  <c r="Q13" s="51" t="n"/>
    </row>
    <row r="14">
      <c r="A14" s="58">
        <f>IF(C14="","",ROW()-8)</f>
        <v/>
      </c>
      <c r="B14" s="65" t="n"/>
      <c r="C14" s="65" t="n"/>
      <c r="D14" s="65" t="n"/>
      <c r="E14" s="51" t="n"/>
      <c r="F14" s="58">
        <f>IF(C14="","",COUNTIF(H14:Q14,"Done"))</f>
        <v/>
      </c>
      <c r="G14" s="66">
        <f>IF(OR(C14="",COUNTA(Members)=0),"",F14/COUNTA(Members))</f>
        <v/>
      </c>
      <c r="H14" s="51" t="n"/>
      <c r="I14" s="51" t="n"/>
      <c r="J14" s="51" t="n"/>
      <c r="K14" s="51" t="n"/>
      <c r="L14" s="51" t="n"/>
      <c r="M14" s="51" t="n"/>
      <c r="N14" s="51" t="n"/>
      <c r="O14" s="51" t="n"/>
      <c r="P14" s="51" t="n"/>
      <c r="Q14" s="51" t="n"/>
    </row>
    <row r="15">
      <c r="A15" s="58">
        <f>IF(C15="","",ROW()-8)</f>
        <v/>
      </c>
      <c r="B15" s="65" t="n"/>
      <c r="C15" s="65" t="n"/>
      <c r="D15" s="65" t="n"/>
      <c r="E15" s="51" t="n"/>
      <c r="F15" s="58">
        <f>IF(C15="","",COUNTIF(H15:Q15,"Done"))</f>
        <v/>
      </c>
      <c r="G15" s="66">
        <f>IF(OR(C15="",COUNTA(Members)=0),"",F15/COUNTA(Members))</f>
        <v/>
      </c>
      <c r="H15" s="51" t="n"/>
      <c r="I15" s="51" t="n"/>
      <c r="J15" s="51" t="n"/>
      <c r="K15" s="51" t="n"/>
      <c r="L15" s="51" t="n"/>
      <c r="M15" s="51" t="n"/>
      <c r="N15" s="51" t="n"/>
      <c r="O15" s="51" t="n"/>
      <c r="P15" s="51" t="n"/>
      <c r="Q15" s="51" t="n"/>
    </row>
    <row r="16">
      <c r="A16" s="58">
        <f>IF(C16="","",ROW()-8)</f>
        <v/>
      </c>
      <c r="B16" s="65" t="n"/>
      <c r="C16" s="65" t="n"/>
      <c r="D16" s="65" t="n"/>
      <c r="E16" s="51" t="n"/>
      <c r="F16" s="58">
        <f>IF(C16="","",COUNTIF(H16:Q16,"Done"))</f>
        <v/>
      </c>
      <c r="G16" s="66">
        <f>IF(OR(C16="",COUNTA(Members)=0),"",F16/COUNTA(Members))</f>
        <v/>
      </c>
      <c r="H16" s="51" t="n"/>
      <c r="I16" s="51" t="n"/>
      <c r="J16" s="51" t="n"/>
      <c r="K16" s="51" t="n"/>
      <c r="L16" s="51" t="n"/>
      <c r="M16" s="51" t="n"/>
      <c r="N16" s="51" t="n"/>
      <c r="O16" s="51" t="n"/>
      <c r="P16" s="51" t="n"/>
      <c r="Q16" s="51" t="n"/>
    </row>
    <row r="17">
      <c r="A17" s="58">
        <f>IF(C17="","",ROW()-8)</f>
        <v/>
      </c>
      <c r="B17" s="65" t="n"/>
      <c r="C17" s="65" t="n"/>
      <c r="D17" s="65" t="n"/>
      <c r="E17" s="51" t="n"/>
      <c r="F17" s="58">
        <f>IF(C17="","",COUNTIF(H17:Q17,"Done"))</f>
        <v/>
      </c>
      <c r="G17" s="66">
        <f>IF(OR(C17="",COUNTA(Members)=0),"",F17/COUNTA(Members))</f>
        <v/>
      </c>
      <c r="H17" s="51" t="n"/>
      <c r="I17" s="51" t="n"/>
      <c r="J17" s="51" t="n"/>
      <c r="K17" s="51" t="n"/>
      <c r="L17" s="51" t="n"/>
      <c r="M17" s="51" t="n"/>
      <c r="N17" s="51" t="n"/>
      <c r="O17" s="51" t="n"/>
      <c r="P17" s="51" t="n"/>
      <c r="Q17" s="51" t="n"/>
    </row>
    <row r="18">
      <c r="A18" s="58">
        <f>IF(C18="","",ROW()-8)</f>
        <v/>
      </c>
      <c r="B18" s="65" t="n"/>
      <c r="C18" s="65" t="n"/>
      <c r="D18" s="65" t="n"/>
      <c r="E18" s="51" t="n"/>
      <c r="F18" s="58">
        <f>IF(C18="","",COUNTIF(H18:Q18,"Done"))</f>
        <v/>
      </c>
      <c r="G18" s="66">
        <f>IF(OR(C18="",COUNTA(Members)=0),"",F18/COUNTA(Members))</f>
        <v/>
      </c>
      <c r="H18" s="51" t="n"/>
      <c r="I18" s="51" t="n"/>
      <c r="J18" s="51" t="n"/>
      <c r="K18" s="51" t="n"/>
      <c r="L18" s="51" t="n"/>
      <c r="M18" s="51" t="n"/>
      <c r="N18" s="51" t="n"/>
      <c r="O18" s="51" t="n"/>
      <c r="P18" s="51" t="n"/>
      <c r="Q18" s="51" t="n"/>
    </row>
    <row r="19">
      <c r="A19" s="58">
        <f>IF(C19="","",ROW()-8)</f>
        <v/>
      </c>
      <c r="B19" s="65" t="n"/>
      <c r="C19" s="65" t="n"/>
      <c r="D19" s="65" t="n"/>
      <c r="E19" s="51" t="n"/>
      <c r="F19" s="58">
        <f>IF(C19="","",COUNTIF(H19:Q19,"Done"))</f>
        <v/>
      </c>
      <c r="G19" s="66">
        <f>IF(OR(C19="",COUNTA(Members)=0),"",F19/COUNTA(Members))</f>
        <v/>
      </c>
      <c r="H19" s="51" t="n"/>
      <c r="I19" s="51" t="n"/>
      <c r="J19" s="51" t="n"/>
      <c r="K19" s="51" t="n"/>
      <c r="L19" s="51" t="n"/>
      <c r="M19" s="51" t="n"/>
      <c r="N19" s="51" t="n"/>
      <c r="O19" s="51" t="n"/>
      <c r="P19" s="51" t="n"/>
      <c r="Q19" s="51" t="n"/>
    </row>
    <row r="20">
      <c r="A20" s="58">
        <f>IF(C20="","",ROW()-8)</f>
        <v/>
      </c>
      <c r="B20" s="65" t="n"/>
      <c r="C20" s="65" t="n"/>
      <c r="D20" s="65" t="n"/>
      <c r="E20" s="51" t="n"/>
      <c r="F20" s="58">
        <f>IF(C20="","",COUNTIF(H20:Q20,"Done"))</f>
        <v/>
      </c>
      <c r="G20" s="66">
        <f>IF(OR(C20="",COUNTA(Members)=0),"",F20/COUNTA(Members))</f>
        <v/>
      </c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  <c r="Q20" s="51" t="n"/>
    </row>
    <row r="21">
      <c r="A21" s="58">
        <f>IF(C21="","",ROW()-8)</f>
        <v/>
      </c>
      <c r="B21" s="65" t="n"/>
      <c r="C21" s="65" t="n"/>
      <c r="D21" s="65" t="n"/>
      <c r="E21" s="51" t="n"/>
      <c r="F21" s="58">
        <f>IF(C21="","",COUNTIF(H21:Q21,"Done"))</f>
        <v/>
      </c>
      <c r="G21" s="66">
        <f>IF(OR(C21="",COUNTA(Members)=0),"",F21/COUNTA(Members))</f>
        <v/>
      </c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  <c r="Q21" s="51" t="n"/>
    </row>
    <row r="22">
      <c r="A22" s="58">
        <f>IF(C22="","",ROW()-8)</f>
        <v/>
      </c>
      <c r="B22" s="65" t="n"/>
      <c r="C22" s="65" t="n"/>
      <c r="D22" s="65" t="n"/>
      <c r="E22" s="51" t="n"/>
      <c r="F22" s="58">
        <f>IF(C22="","",COUNTIF(H22:Q22,"Done"))</f>
        <v/>
      </c>
      <c r="G22" s="66">
        <f>IF(OR(C22="",COUNTA(Members)=0),"",F22/COUNTA(Members))</f>
        <v/>
      </c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  <c r="Q22" s="51" t="n"/>
    </row>
    <row r="23">
      <c r="A23" s="58">
        <f>IF(C23="","",ROW()-8)</f>
        <v/>
      </c>
      <c r="B23" s="65" t="n"/>
      <c r="C23" s="65" t="n"/>
      <c r="D23" s="65" t="n"/>
      <c r="E23" s="51" t="n"/>
      <c r="F23" s="58">
        <f>IF(C23="","",COUNTIF(H23:Q23,"Done"))</f>
        <v/>
      </c>
      <c r="G23" s="66">
        <f>IF(OR(C23="",COUNTA(Members)=0),"",F23/COUNTA(Members))</f>
        <v/>
      </c>
      <c r="H23" s="51" t="n"/>
      <c r="I23" s="51" t="n"/>
      <c r="J23" s="51" t="n"/>
      <c r="K23" s="51" t="n"/>
      <c r="L23" s="51" t="n"/>
      <c r="M23" s="51" t="n"/>
      <c r="N23" s="51" t="n"/>
      <c r="O23" s="51" t="n"/>
      <c r="P23" s="51" t="n"/>
      <c r="Q23" s="51" t="n"/>
    </row>
    <row r="24">
      <c r="A24" s="58">
        <f>IF(C24="","",ROW()-8)</f>
        <v/>
      </c>
      <c r="B24" s="65" t="n"/>
      <c r="C24" s="65" t="n"/>
      <c r="D24" s="65" t="n"/>
      <c r="E24" s="51" t="n"/>
      <c r="F24" s="58">
        <f>IF(C24="","",COUNTIF(H24:Q24,"Done"))</f>
        <v/>
      </c>
      <c r="G24" s="66">
        <f>IF(OR(C24="",COUNTA(Members)=0),"",F24/COUNTA(Members))</f>
        <v/>
      </c>
      <c r="H24" s="51" t="n"/>
      <c r="I24" s="51" t="n"/>
      <c r="J24" s="51" t="n"/>
      <c r="K24" s="51" t="n"/>
      <c r="L24" s="51" t="n"/>
      <c r="M24" s="51" t="n"/>
      <c r="N24" s="51" t="n"/>
      <c r="O24" s="51" t="n"/>
      <c r="P24" s="51" t="n"/>
      <c r="Q24" s="51" t="n"/>
    </row>
    <row r="25">
      <c r="A25" s="58">
        <f>IF(C25="","",ROW()-8)</f>
        <v/>
      </c>
      <c r="B25" s="65" t="n"/>
      <c r="C25" s="65" t="n"/>
      <c r="D25" s="65" t="n"/>
      <c r="E25" s="51" t="n"/>
      <c r="F25" s="58">
        <f>IF(C25="","",COUNTIF(H25:Q25,"Done"))</f>
        <v/>
      </c>
      <c r="G25" s="66">
        <f>IF(OR(C25="",COUNTA(Members)=0),"",F25/COUNTA(Members))</f>
        <v/>
      </c>
      <c r="H25" s="51" t="n"/>
      <c r="I25" s="51" t="n"/>
      <c r="J25" s="51" t="n"/>
      <c r="K25" s="51" t="n"/>
      <c r="L25" s="51" t="n"/>
      <c r="M25" s="51" t="n"/>
      <c r="N25" s="51" t="n"/>
      <c r="O25" s="51" t="n"/>
      <c r="P25" s="51" t="n"/>
      <c r="Q25" s="51" t="n"/>
    </row>
    <row r="26">
      <c r="A26" s="58">
        <f>IF(C26="","",ROW()-8)</f>
        <v/>
      </c>
      <c r="B26" s="65" t="n"/>
      <c r="C26" s="65" t="n"/>
      <c r="D26" s="65" t="n"/>
      <c r="E26" s="51" t="n"/>
      <c r="F26" s="58">
        <f>IF(C26="","",COUNTIF(H26:Q26,"Done"))</f>
        <v/>
      </c>
      <c r="G26" s="66">
        <f>IF(OR(C26="",COUNTA(Members)=0),"",F26/COUNTA(Members))</f>
        <v/>
      </c>
      <c r="H26" s="51" t="n"/>
      <c r="I26" s="51" t="n"/>
      <c r="J26" s="51" t="n"/>
      <c r="K26" s="51" t="n"/>
      <c r="L26" s="51" t="n"/>
      <c r="M26" s="51" t="n"/>
      <c r="N26" s="51" t="n"/>
      <c r="O26" s="51" t="n"/>
      <c r="P26" s="51" t="n"/>
      <c r="Q26" s="51" t="n"/>
    </row>
    <row r="27">
      <c r="A27" s="58">
        <f>IF(C27="","",ROW()-8)</f>
        <v/>
      </c>
      <c r="B27" s="65" t="n"/>
      <c r="C27" s="65" t="n"/>
      <c r="D27" s="65" t="n"/>
      <c r="E27" s="51" t="n"/>
      <c r="F27" s="58">
        <f>IF(C27="","",COUNTIF(H27:Q27,"Done"))</f>
        <v/>
      </c>
      <c r="G27" s="66">
        <f>IF(OR(C27="",COUNTA(Members)=0),"",F27/COUNTA(Members))</f>
        <v/>
      </c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  <c r="Q27" s="51" t="n"/>
    </row>
    <row r="28">
      <c r="A28" s="58">
        <f>IF(C28="","",ROW()-8)</f>
        <v/>
      </c>
      <c r="B28" s="65" t="n"/>
      <c r="C28" s="65" t="n"/>
      <c r="D28" s="65" t="n"/>
      <c r="E28" s="51" t="n"/>
      <c r="F28" s="58">
        <f>IF(C28="","",COUNTIF(H28:Q28,"Done"))</f>
        <v/>
      </c>
      <c r="G28" s="66">
        <f>IF(OR(C28="",COUNTA(Members)=0),"",F28/COUNTA(Members))</f>
        <v/>
      </c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  <c r="Q28" s="51" t="n"/>
    </row>
    <row r="29">
      <c r="A29" s="58">
        <f>IF(C29="","",ROW()-8)</f>
        <v/>
      </c>
      <c r="B29" s="65" t="n"/>
      <c r="C29" s="65" t="n"/>
      <c r="D29" s="65" t="n"/>
      <c r="E29" s="51" t="n"/>
      <c r="F29" s="58">
        <f>IF(C29="","",COUNTIF(H29:Q29,"Done"))</f>
        <v/>
      </c>
      <c r="G29" s="66">
        <f>IF(OR(C29="",COUNTA(Members)=0),"",F29/COUNTA(Members))</f>
        <v/>
      </c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  <c r="Q29" s="51" t="n"/>
    </row>
    <row r="30">
      <c r="A30" s="58">
        <f>IF(C30="","",ROW()-8)</f>
        <v/>
      </c>
      <c r="B30" s="65" t="n"/>
      <c r="C30" s="65" t="n"/>
      <c r="D30" s="65" t="n"/>
      <c r="E30" s="51" t="n"/>
      <c r="F30" s="58">
        <f>IF(C30="","",COUNTIF(H30:Q30,"Done"))</f>
        <v/>
      </c>
      <c r="G30" s="66">
        <f>IF(OR(C30="",COUNTA(Members)=0),"",F30/COUNTA(Members))</f>
        <v/>
      </c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  <c r="Q30" s="51" t="n"/>
    </row>
    <row r="31">
      <c r="A31" s="58">
        <f>IF(C31="","",ROW()-8)</f>
        <v/>
      </c>
      <c r="B31" s="65" t="n"/>
      <c r="C31" s="65" t="n"/>
      <c r="D31" s="65" t="n"/>
      <c r="E31" s="51" t="n"/>
      <c r="F31" s="58">
        <f>IF(C31="","",COUNTIF(H31:Q31,"Done"))</f>
        <v/>
      </c>
      <c r="G31" s="66">
        <f>IF(OR(C31="",COUNTA(Members)=0),"",F31/COUNTA(Members))</f>
        <v/>
      </c>
      <c r="H31" s="51" t="n"/>
      <c r="I31" s="51" t="n"/>
      <c r="J31" s="51" t="n"/>
      <c r="K31" s="51" t="n"/>
      <c r="L31" s="51" t="n"/>
      <c r="M31" s="51" t="n"/>
      <c r="N31" s="51" t="n"/>
      <c r="O31" s="51" t="n"/>
      <c r="P31" s="51" t="n"/>
      <c r="Q31" s="51" t="n"/>
    </row>
    <row r="32">
      <c r="A32" s="58">
        <f>IF(C32="","",ROW()-8)</f>
        <v/>
      </c>
      <c r="B32" s="65" t="n"/>
      <c r="C32" s="65" t="n"/>
      <c r="D32" s="65" t="n"/>
      <c r="E32" s="51" t="n"/>
      <c r="F32" s="58">
        <f>IF(C32="","",COUNTIF(H32:Q32,"Done"))</f>
        <v/>
      </c>
      <c r="G32" s="66">
        <f>IF(OR(C32="",COUNTA(Members)=0),"",F32/COUNTA(Members))</f>
        <v/>
      </c>
      <c r="H32" s="51" t="n"/>
      <c r="I32" s="51" t="n"/>
      <c r="J32" s="51" t="n"/>
      <c r="K32" s="51" t="n"/>
      <c r="L32" s="51" t="n"/>
      <c r="M32" s="51" t="n"/>
      <c r="N32" s="51" t="n"/>
      <c r="O32" s="51" t="n"/>
      <c r="P32" s="51" t="n"/>
      <c r="Q32" s="51" t="n"/>
    </row>
    <row r="33">
      <c r="A33" s="58">
        <f>IF(C33="","",ROW()-8)</f>
        <v/>
      </c>
      <c r="B33" s="65" t="n"/>
      <c r="C33" s="65" t="n"/>
      <c r="D33" s="65" t="n"/>
      <c r="E33" s="51" t="n"/>
      <c r="F33" s="58">
        <f>IF(C33="","",COUNTIF(H33:Q33,"Done"))</f>
        <v/>
      </c>
      <c r="G33" s="66">
        <f>IF(OR(C33="",COUNTA(Members)=0),"",F33/COUNTA(Members))</f>
        <v/>
      </c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51" t="n"/>
    </row>
    <row r="34">
      <c r="A34" s="58">
        <f>IF(C34="","",ROW()-8)</f>
        <v/>
      </c>
      <c r="B34" s="65" t="n"/>
      <c r="C34" s="65" t="n"/>
      <c r="D34" s="65" t="n"/>
      <c r="E34" s="51" t="n"/>
      <c r="F34" s="58">
        <f>IF(C34="","",COUNTIF(H34:Q34,"Done"))</f>
        <v/>
      </c>
      <c r="G34" s="66">
        <f>IF(OR(C34="",COUNTA(Members)=0),"",F34/COUNTA(Members))</f>
        <v/>
      </c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1" t="n"/>
    </row>
    <row r="35">
      <c r="A35" s="58">
        <f>IF(C35="","",ROW()-8)</f>
        <v/>
      </c>
      <c r="B35" s="65" t="n"/>
      <c r="C35" s="65" t="n"/>
      <c r="D35" s="65" t="n"/>
      <c r="E35" s="51" t="n"/>
      <c r="F35" s="58">
        <f>IF(C35="","",COUNTIF(H35:Q35,"Done"))</f>
        <v/>
      </c>
      <c r="G35" s="66">
        <f>IF(OR(C35="",COUNTA(Members)=0),"",F35/COUNTA(Members))</f>
        <v/>
      </c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1" t="n"/>
    </row>
    <row r="36">
      <c r="A36" s="58">
        <f>IF(C36="","",ROW()-8)</f>
        <v/>
      </c>
      <c r="B36" s="65" t="n"/>
      <c r="C36" s="65" t="n"/>
      <c r="D36" s="65" t="n"/>
      <c r="E36" s="51" t="n"/>
      <c r="F36" s="58">
        <f>IF(C36="","",COUNTIF(H36:Q36,"Done"))</f>
        <v/>
      </c>
      <c r="G36" s="66">
        <f>IF(OR(C36="",COUNTA(Members)=0),"",F36/COUNTA(Members))</f>
        <v/>
      </c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1" t="n"/>
    </row>
    <row r="37">
      <c r="A37" s="58">
        <f>IF(C37="","",ROW()-8)</f>
        <v/>
      </c>
      <c r="B37" s="65" t="n"/>
      <c r="C37" s="65" t="n"/>
      <c r="D37" s="65" t="n"/>
      <c r="E37" s="51" t="n"/>
      <c r="F37" s="58">
        <f>IF(C37="","",COUNTIF(H37:Q37,"Done"))</f>
        <v/>
      </c>
      <c r="G37" s="66">
        <f>IF(OR(C37="",COUNTA(Members)=0),"",F37/COUNTA(Members))</f>
        <v/>
      </c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1" t="n"/>
    </row>
    <row r="38">
      <c r="A38" s="58">
        <f>IF(C38="","",ROW()-8)</f>
        <v/>
      </c>
      <c r="B38" s="65" t="n"/>
      <c r="C38" s="65" t="n"/>
      <c r="D38" s="65" t="n"/>
      <c r="E38" s="51" t="n"/>
      <c r="F38" s="58">
        <f>IF(C38="","",COUNTIF(H38:Q38,"Done"))</f>
        <v/>
      </c>
      <c r="G38" s="66">
        <f>IF(OR(C38="",COUNTA(Members)=0),"",F38/COUNTA(Members))</f>
        <v/>
      </c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1" t="n"/>
    </row>
    <row r="39">
      <c r="A39" s="58">
        <f>IF(C39="","",ROW()-8)</f>
        <v/>
      </c>
      <c r="B39" s="65" t="n"/>
      <c r="C39" s="65" t="n"/>
      <c r="D39" s="65" t="n"/>
      <c r="E39" s="51" t="n"/>
      <c r="F39" s="58">
        <f>IF(C39="","",COUNTIF(H39:Q39,"Done"))</f>
        <v/>
      </c>
      <c r="G39" s="66">
        <f>IF(OR(C39="",COUNTA(Members)=0),"",F39/COUNTA(Members))</f>
        <v/>
      </c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1" t="n"/>
    </row>
    <row r="40">
      <c r="A40" s="58">
        <f>IF(C40="","",ROW()-8)</f>
        <v/>
      </c>
      <c r="B40" s="65" t="n"/>
      <c r="C40" s="65" t="n"/>
      <c r="D40" s="65" t="n"/>
      <c r="E40" s="51" t="n"/>
      <c r="F40" s="58">
        <f>IF(C40="","",COUNTIF(H40:Q40,"Done"))</f>
        <v/>
      </c>
      <c r="G40" s="66">
        <f>IF(OR(C40="",COUNTA(Members)=0),"",F40/COUNTA(Members))</f>
        <v/>
      </c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1" t="n"/>
    </row>
    <row r="41">
      <c r="A41" s="58">
        <f>IF(C41="","",ROW()-8)</f>
        <v/>
      </c>
      <c r="B41" s="65" t="n"/>
      <c r="C41" s="65" t="n"/>
      <c r="D41" s="65" t="n"/>
      <c r="E41" s="51" t="n"/>
      <c r="F41" s="58">
        <f>IF(C41="","",COUNTIF(H41:Q41,"Done"))</f>
        <v/>
      </c>
      <c r="G41" s="66">
        <f>IF(OR(C41="",COUNTA(Members)=0),"",F41/COUNTA(Members))</f>
        <v/>
      </c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1" t="n"/>
    </row>
    <row r="42">
      <c r="A42" s="58">
        <f>IF(C42="","",ROW()-8)</f>
        <v/>
      </c>
      <c r="B42" s="65" t="n"/>
      <c r="C42" s="65" t="n"/>
      <c r="D42" s="65" t="n"/>
      <c r="E42" s="51" t="n"/>
      <c r="F42" s="58">
        <f>IF(C42="","",COUNTIF(H42:Q42,"Done"))</f>
        <v/>
      </c>
      <c r="G42" s="66">
        <f>IF(OR(C42="",COUNTA(Members)=0),"",F42/COUNTA(Members))</f>
        <v/>
      </c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1" t="n"/>
    </row>
    <row r="43">
      <c r="A43" s="58">
        <f>IF(C43="","",ROW()-8)</f>
        <v/>
      </c>
      <c r="B43" s="65" t="n"/>
      <c r="C43" s="65" t="n"/>
      <c r="D43" s="65" t="n"/>
      <c r="E43" s="51" t="n"/>
      <c r="F43" s="58">
        <f>IF(C43="","",COUNTIF(H43:Q43,"Done"))</f>
        <v/>
      </c>
      <c r="G43" s="66">
        <f>IF(OR(C43="",COUNTA(Members)=0),"",F43/COUNTA(Members))</f>
        <v/>
      </c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1" t="n"/>
    </row>
    <row r="44">
      <c r="A44" s="58">
        <f>IF(C44="","",ROW()-8)</f>
        <v/>
      </c>
      <c r="B44" s="65" t="n"/>
      <c r="C44" s="65" t="n"/>
      <c r="D44" s="65" t="n"/>
      <c r="E44" s="51" t="n"/>
      <c r="F44" s="58">
        <f>IF(C44="","",COUNTIF(H44:Q44,"Done"))</f>
        <v/>
      </c>
      <c r="G44" s="66">
        <f>IF(OR(C44="",COUNTA(Members)=0),"",F44/COUNTA(Members))</f>
        <v/>
      </c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1" t="n"/>
    </row>
    <row r="45">
      <c r="A45" s="58">
        <f>IF(C45="","",ROW()-8)</f>
        <v/>
      </c>
      <c r="B45" s="65" t="n"/>
      <c r="C45" s="65" t="n"/>
      <c r="D45" s="65" t="n"/>
      <c r="E45" s="51" t="n"/>
      <c r="F45" s="58">
        <f>IF(C45="","",COUNTIF(H45:Q45,"Done"))</f>
        <v/>
      </c>
      <c r="G45" s="66">
        <f>IF(OR(C45="",COUNTA(Members)=0),"",F45/COUNTA(Members))</f>
        <v/>
      </c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1" t="n"/>
    </row>
    <row r="46">
      <c r="A46" s="58">
        <f>IF(C46="","",ROW()-8)</f>
        <v/>
      </c>
      <c r="B46" s="65" t="n"/>
      <c r="C46" s="65" t="n"/>
      <c r="D46" s="65" t="n"/>
      <c r="E46" s="51" t="n"/>
      <c r="F46" s="58">
        <f>IF(C46="","",COUNTIF(H46:Q46,"Done"))</f>
        <v/>
      </c>
      <c r="G46" s="66">
        <f>IF(OR(C46="",COUNTA(Members)=0),"",F46/COUNTA(Members))</f>
        <v/>
      </c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1" t="n"/>
    </row>
    <row r="47">
      <c r="A47" s="58">
        <f>IF(C47="","",ROW()-8)</f>
        <v/>
      </c>
      <c r="B47" s="65" t="n"/>
      <c r="C47" s="65" t="n"/>
      <c r="D47" s="65" t="n"/>
      <c r="E47" s="51" t="n"/>
      <c r="F47" s="58">
        <f>IF(C47="","",COUNTIF(H47:Q47,"Done"))</f>
        <v/>
      </c>
      <c r="G47" s="66">
        <f>IF(OR(C47="",COUNTA(Members)=0),"",F47/COUNTA(Members))</f>
        <v/>
      </c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1" t="n"/>
    </row>
    <row r="48">
      <c r="A48" s="58">
        <f>IF(C48="","",ROW()-8)</f>
        <v/>
      </c>
      <c r="B48" s="65" t="n"/>
      <c r="C48" s="65" t="n"/>
      <c r="D48" s="65" t="n"/>
      <c r="E48" s="51" t="n"/>
      <c r="F48" s="58">
        <f>IF(C48="","",COUNTIF(H48:Q48,"Done"))</f>
        <v/>
      </c>
      <c r="G48" s="66">
        <f>IF(OR(C48="",COUNTA(Members)=0),"",F48/COUNTA(Members))</f>
        <v/>
      </c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1" t="n"/>
    </row>
    <row r="49">
      <c r="A49" s="58">
        <f>IF(C49="","",ROW()-8)</f>
        <v/>
      </c>
      <c r="B49" s="65" t="n"/>
      <c r="C49" s="65" t="n"/>
      <c r="D49" s="65" t="n"/>
      <c r="E49" s="51" t="n"/>
      <c r="F49" s="58">
        <f>IF(C49="","",COUNTIF(H49:Q49,"Done"))</f>
        <v/>
      </c>
      <c r="G49" s="66">
        <f>IF(OR(C49="",COUNTA(Members)=0),"",F49/COUNTA(Members))</f>
        <v/>
      </c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</row>
    <row r="50">
      <c r="A50" s="58">
        <f>IF(C50="","",ROW()-8)</f>
        <v/>
      </c>
      <c r="B50" s="65" t="n"/>
      <c r="C50" s="65" t="n"/>
      <c r="D50" s="65" t="n"/>
      <c r="E50" s="51" t="n"/>
      <c r="F50" s="58">
        <f>IF(C50="","",COUNTIF(H50:Q50,"Done"))</f>
        <v/>
      </c>
      <c r="G50" s="66">
        <f>IF(OR(C50="",COUNTA(Members)=0),"",F50/COUNTA(Members))</f>
        <v/>
      </c>
      <c r="H50" s="51" t="n"/>
      <c r="I50" s="51" t="n"/>
      <c r="J50" s="51" t="n"/>
      <c r="K50" s="51" t="n"/>
      <c r="L50" s="51" t="n"/>
      <c r="M50" s="51" t="n"/>
      <c r="N50" s="51" t="n"/>
      <c r="O50" s="51" t="n"/>
      <c r="P50" s="51" t="n"/>
      <c r="Q50" s="51" t="n"/>
    </row>
    <row r="51">
      <c r="A51" s="58">
        <f>IF(C51="","",ROW()-8)</f>
        <v/>
      </c>
      <c r="B51" s="65" t="n"/>
      <c r="C51" s="65" t="n"/>
      <c r="D51" s="65" t="n"/>
      <c r="E51" s="51" t="n"/>
      <c r="F51" s="58">
        <f>IF(C51="","",COUNTIF(H51:Q51,"Done"))</f>
        <v/>
      </c>
      <c r="G51" s="66">
        <f>IF(OR(C51="",COUNTA(Members)=0),"",F51/COUNTA(Members))</f>
        <v/>
      </c>
      <c r="H51" s="51" t="n"/>
      <c r="I51" s="51" t="n"/>
      <c r="J51" s="51" t="n"/>
      <c r="K51" s="51" t="n"/>
      <c r="L51" s="51" t="n"/>
      <c r="M51" s="51" t="n"/>
      <c r="N51" s="51" t="n"/>
      <c r="O51" s="51" t="n"/>
      <c r="P51" s="51" t="n"/>
      <c r="Q51" s="51" t="n"/>
    </row>
    <row r="52">
      <c r="A52" s="58">
        <f>IF(C52="","",ROW()-8)</f>
        <v/>
      </c>
      <c r="B52" s="65" t="n"/>
      <c r="C52" s="65" t="n"/>
      <c r="D52" s="65" t="n"/>
      <c r="E52" s="51" t="n"/>
      <c r="F52" s="58">
        <f>IF(C52="","",COUNTIF(H52:Q52,"Done"))</f>
        <v/>
      </c>
      <c r="G52" s="66">
        <f>IF(OR(C52="",COUNTA(Members)=0),"",F52/COUNTA(Members))</f>
        <v/>
      </c>
      <c r="H52" s="51" t="n"/>
      <c r="I52" s="51" t="n"/>
      <c r="J52" s="51" t="n"/>
      <c r="K52" s="51" t="n"/>
      <c r="L52" s="51" t="n"/>
      <c r="M52" s="51" t="n"/>
      <c r="N52" s="51" t="n"/>
      <c r="O52" s="51" t="n"/>
      <c r="P52" s="51" t="n"/>
      <c r="Q52" s="51" t="n"/>
    </row>
    <row r="53">
      <c r="A53" s="58">
        <f>IF(C53="","",ROW()-8)</f>
        <v/>
      </c>
      <c r="B53" s="65" t="n"/>
      <c r="C53" s="65" t="n"/>
      <c r="D53" s="65" t="n"/>
      <c r="E53" s="51" t="n"/>
      <c r="F53" s="58">
        <f>IF(C53="","",COUNTIF(H53:Q53,"Done"))</f>
        <v/>
      </c>
      <c r="G53" s="66">
        <f>IF(OR(C53="",COUNTA(Members)=0),"",F53/COUNTA(Members))</f>
        <v/>
      </c>
      <c r="H53" s="51" t="n"/>
      <c r="I53" s="51" t="n"/>
      <c r="J53" s="51" t="n"/>
      <c r="K53" s="51" t="n"/>
      <c r="L53" s="51" t="n"/>
      <c r="M53" s="51" t="n"/>
      <c r="N53" s="51" t="n"/>
      <c r="O53" s="51" t="n"/>
      <c r="P53" s="51" t="n"/>
      <c r="Q53" s="51" t="n"/>
    </row>
    <row r="54">
      <c r="A54" s="58">
        <f>IF(C54="","",ROW()-8)</f>
        <v/>
      </c>
      <c r="B54" s="65" t="n"/>
      <c r="C54" s="65" t="n"/>
      <c r="D54" s="65" t="n"/>
      <c r="E54" s="51" t="n"/>
      <c r="F54" s="58">
        <f>IF(C54="","",COUNTIF(H54:Q54,"Done"))</f>
        <v/>
      </c>
      <c r="G54" s="66">
        <f>IF(OR(C54="",COUNTA(Members)=0),"",F54/COUNTA(Members))</f>
        <v/>
      </c>
      <c r="H54" s="51" t="n"/>
      <c r="I54" s="51" t="n"/>
      <c r="J54" s="51" t="n"/>
      <c r="K54" s="51" t="n"/>
      <c r="L54" s="51" t="n"/>
      <c r="M54" s="51" t="n"/>
      <c r="N54" s="51" t="n"/>
      <c r="O54" s="51" t="n"/>
      <c r="P54" s="51" t="n"/>
      <c r="Q54" s="51" t="n"/>
    </row>
    <row r="55">
      <c r="A55" s="58">
        <f>IF(C55="","",ROW()-8)</f>
        <v/>
      </c>
      <c r="B55" s="65" t="n"/>
      <c r="C55" s="65" t="n"/>
      <c r="D55" s="65" t="n"/>
      <c r="E55" s="51" t="n"/>
      <c r="F55" s="58">
        <f>IF(C55="","",COUNTIF(H55:Q55,"Done"))</f>
        <v/>
      </c>
      <c r="G55" s="66">
        <f>IF(OR(C55="",COUNTA(Members)=0),"",F55/COUNTA(Members))</f>
        <v/>
      </c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</row>
    <row r="56">
      <c r="A56" s="58">
        <f>IF(C56="","",ROW()-8)</f>
        <v/>
      </c>
      <c r="B56" s="65" t="n"/>
      <c r="C56" s="65" t="n"/>
      <c r="D56" s="65" t="n"/>
      <c r="E56" s="51" t="n"/>
      <c r="F56" s="58">
        <f>IF(C56="","",COUNTIF(H56:Q56,"Done"))</f>
        <v/>
      </c>
      <c r="G56" s="66">
        <f>IF(OR(C56="",COUNTA(Members)=0),"",F56/COUNTA(Members))</f>
        <v/>
      </c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</row>
    <row r="57">
      <c r="A57" s="58">
        <f>IF(C57="","",ROW()-8)</f>
        <v/>
      </c>
      <c r="B57" s="65" t="n"/>
      <c r="C57" s="65" t="n"/>
      <c r="D57" s="65" t="n"/>
      <c r="E57" s="51" t="n"/>
      <c r="F57" s="58">
        <f>IF(C57="","",COUNTIF(H57:Q57,"Done"))</f>
        <v/>
      </c>
      <c r="G57" s="66">
        <f>IF(OR(C57="",COUNTA(Members)=0),"",F57/COUNTA(Members))</f>
        <v/>
      </c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</row>
    <row r="58">
      <c r="A58" s="58">
        <f>IF(C58="","",ROW()-8)</f>
        <v/>
      </c>
      <c r="B58" s="65" t="n"/>
      <c r="C58" s="65" t="n"/>
      <c r="D58" s="65" t="n"/>
      <c r="E58" s="51" t="n"/>
      <c r="F58" s="58">
        <f>IF(C58="","",COUNTIF(H58:Q58,"Done"))</f>
        <v/>
      </c>
      <c r="G58" s="66">
        <f>IF(OR(C58="",COUNTA(Members)=0),"",F58/COUNTA(Members))</f>
        <v/>
      </c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1" t="n"/>
    </row>
    <row r="59">
      <c r="A59" s="58">
        <f>IF(C59="","",ROW()-8)</f>
        <v/>
      </c>
      <c r="B59" s="65" t="n"/>
      <c r="C59" s="65" t="n"/>
      <c r="D59" s="65" t="n"/>
      <c r="E59" s="51" t="n"/>
      <c r="F59" s="58">
        <f>IF(C59="","",COUNTIF(H59:Q59,"Done"))</f>
        <v/>
      </c>
      <c r="G59" s="66">
        <f>IF(OR(C59="",COUNTA(Members)=0),"",F59/COUNTA(Members))</f>
        <v/>
      </c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1" t="n"/>
    </row>
    <row r="60">
      <c r="A60" s="58">
        <f>IF(C60="","",ROW()-8)</f>
        <v/>
      </c>
      <c r="B60" s="65" t="n"/>
      <c r="C60" s="65" t="n"/>
      <c r="D60" s="65" t="n"/>
      <c r="E60" s="51" t="n"/>
      <c r="F60" s="58">
        <f>IF(C60="","",COUNTIF(H60:Q60,"Done"))</f>
        <v/>
      </c>
      <c r="G60" s="66">
        <f>IF(OR(C60="",COUNTA(Members)=0),"",F60/COUNTA(Members))</f>
        <v/>
      </c>
      <c r="H60" s="51" t="n"/>
      <c r="I60" s="51" t="n"/>
      <c r="J60" s="51" t="n"/>
      <c r="K60" s="51" t="n"/>
      <c r="L60" s="51" t="n"/>
      <c r="M60" s="51" t="n"/>
      <c r="N60" s="51" t="n"/>
      <c r="O60" s="51" t="n"/>
      <c r="P60" s="51" t="n"/>
      <c r="Q60" s="51" t="n"/>
    </row>
    <row r="61">
      <c r="A61" s="58">
        <f>IF(C61="","",ROW()-8)</f>
        <v/>
      </c>
      <c r="B61" s="65" t="n"/>
      <c r="C61" s="65" t="n"/>
      <c r="D61" s="65" t="n"/>
      <c r="E61" s="51" t="n"/>
      <c r="F61" s="58">
        <f>IF(C61="","",COUNTIF(H61:Q61,"Done"))</f>
        <v/>
      </c>
      <c r="G61" s="66">
        <f>IF(OR(C61="",COUNTA(Members)=0),"",F61/COUNTA(Members))</f>
        <v/>
      </c>
      <c r="H61" s="51" t="n"/>
      <c r="I61" s="51" t="n"/>
      <c r="J61" s="51" t="n"/>
      <c r="K61" s="51" t="n"/>
      <c r="L61" s="51" t="n"/>
      <c r="M61" s="51" t="n"/>
      <c r="N61" s="51" t="n"/>
      <c r="O61" s="51" t="n"/>
      <c r="P61" s="51" t="n"/>
      <c r="Q61" s="51" t="n"/>
    </row>
    <row r="62">
      <c r="A62" s="58">
        <f>IF(C62="","",ROW()-8)</f>
        <v/>
      </c>
      <c r="B62" s="65" t="n"/>
      <c r="C62" s="65" t="n"/>
      <c r="D62" s="65" t="n"/>
      <c r="E62" s="51" t="n"/>
      <c r="F62" s="58">
        <f>IF(C62="","",COUNTIF(H62:Q62,"Done"))</f>
        <v/>
      </c>
      <c r="G62" s="66">
        <f>IF(OR(C62="",COUNTA(Members)=0),"",F62/COUNTA(Members))</f>
        <v/>
      </c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</row>
    <row r="63">
      <c r="A63" s="58">
        <f>IF(C63="","",ROW()-8)</f>
        <v/>
      </c>
      <c r="B63" s="65" t="n"/>
      <c r="C63" s="65" t="n"/>
      <c r="D63" s="65" t="n"/>
      <c r="E63" s="51" t="n"/>
      <c r="F63" s="58">
        <f>IF(C63="","",COUNTIF(H63:Q63,"Done"))</f>
        <v/>
      </c>
      <c r="G63" s="66">
        <f>IF(OR(C63="",COUNTA(Members)=0),"",F63/COUNTA(Members))</f>
        <v/>
      </c>
      <c r="H63" s="51" t="n"/>
      <c r="I63" s="51" t="n"/>
      <c r="J63" s="51" t="n"/>
      <c r="K63" s="51" t="n"/>
      <c r="L63" s="51" t="n"/>
      <c r="M63" s="51" t="n"/>
      <c r="N63" s="51" t="n"/>
      <c r="O63" s="51" t="n"/>
      <c r="P63" s="51" t="n"/>
      <c r="Q63" s="51" t="n"/>
    </row>
    <row r="64">
      <c r="A64" s="58">
        <f>IF(C64="","",ROW()-8)</f>
        <v/>
      </c>
      <c r="B64" s="65" t="n"/>
      <c r="C64" s="65" t="n"/>
      <c r="D64" s="65" t="n"/>
      <c r="E64" s="51" t="n"/>
      <c r="F64" s="58">
        <f>IF(C64="","",COUNTIF(H64:Q64,"Done"))</f>
        <v/>
      </c>
      <c r="G64" s="66">
        <f>IF(OR(C64="",COUNTA(Members)=0),"",F64/COUNTA(Members))</f>
        <v/>
      </c>
      <c r="H64" s="51" t="n"/>
      <c r="I64" s="51" t="n"/>
      <c r="J64" s="51" t="n"/>
      <c r="K64" s="51" t="n"/>
      <c r="L64" s="51" t="n"/>
      <c r="M64" s="51" t="n"/>
      <c r="N64" s="51" t="n"/>
      <c r="O64" s="51" t="n"/>
      <c r="P64" s="51" t="n"/>
      <c r="Q64" s="51" t="n"/>
    </row>
    <row r="65">
      <c r="A65" s="58">
        <f>IF(C65="","",ROW()-8)</f>
        <v/>
      </c>
      <c r="B65" s="65" t="n"/>
      <c r="C65" s="65" t="n"/>
      <c r="D65" s="65" t="n"/>
      <c r="E65" s="51" t="n"/>
      <c r="F65" s="58">
        <f>IF(C65="","",COUNTIF(H65:Q65,"Done"))</f>
        <v/>
      </c>
      <c r="G65" s="66">
        <f>IF(OR(C65="",COUNTA(Members)=0),"",F65/COUNTA(Members))</f>
        <v/>
      </c>
      <c r="H65" s="51" t="n"/>
      <c r="I65" s="51" t="n"/>
      <c r="J65" s="51" t="n"/>
      <c r="K65" s="51" t="n"/>
      <c r="L65" s="51" t="n"/>
      <c r="M65" s="51" t="n"/>
      <c r="N65" s="51" t="n"/>
      <c r="O65" s="51" t="n"/>
      <c r="P65" s="51" t="n"/>
      <c r="Q65" s="51" t="n"/>
    </row>
    <row r="66">
      <c r="A66" s="58">
        <f>IF(C66="","",ROW()-8)</f>
        <v/>
      </c>
      <c r="B66" s="65" t="n"/>
      <c r="C66" s="65" t="n"/>
      <c r="D66" s="65" t="n"/>
      <c r="E66" s="51" t="n"/>
      <c r="F66" s="58">
        <f>IF(C66="","",COUNTIF(H66:Q66,"Done"))</f>
        <v/>
      </c>
      <c r="G66" s="66">
        <f>IF(OR(C66="",COUNTA(Members)=0),"",F66/COUNTA(Members))</f>
        <v/>
      </c>
      <c r="H66" s="51" t="n"/>
      <c r="I66" s="51" t="n"/>
      <c r="J66" s="51" t="n"/>
      <c r="K66" s="51" t="n"/>
      <c r="L66" s="51" t="n"/>
      <c r="M66" s="51" t="n"/>
      <c r="N66" s="51" t="n"/>
      <c r="O66" s="51" t="n"/>
      <c r="P66" s="51" t="n"/>
      <c r="Q66" s="51" t="n"/>
    </row>
    <row r="67">
      <c r="A67" s="58">
        <f>IF(C67="","",ROW()-8)</f>
        <v/>
      </c>
      <c r="B67" s="65" t="n"/>
      <c r="C67" s="65" t="n"/>
      <c r="D67" s="65" t="n"/>
      <c r="E67" s="51" t="n"/>
      <c r="F67" s="58">
        <f>IF(C67="","",COUNTIF(H67:Q67,"Done"))</f>
        <v/>
      </c>
      <c r="G67" s="66">
        <f>IF(OR(C67="",COUNTA(Members)=0),"",F67/COUNTA(Members))</f>
        <v/>
      </c>
      <c r="H67" s="51" t="n"/>
      <c r="I67" s="51" t="n"/>
      <c r="J67" s="51" t="n"/>
      <c r="K67" s="51" t="n"/>
      <c r="L67" s="51" t="n"/>
      <c r="M67" s="51" t="n"/>
      <c r="N67" s="51" t="n"/>
      <c r="O67" s="51" t="n"/>
      <c r="P67" s="51" t="n"/>
      <c r="Q67" s="51" t="n"/>
    </row>
    <row r="68">
      <c r="A68" s="58">
        <f>IF(C68="","",ROW()-8)</f>
        <v/>
      </c>
      <c r="B68" s="65" t="n"/>
      <c r="C68" s="65" t="n"/>
      <c r="D68" s="65" t="n"/>
      <c r="E68" s="51" t="n"/>
      <c r="F68" s="58">
        <f>IF(C68="","",COUNTIF(H68:Q68,"Done"))</f>
        <v/>
      </c>
      <c r="G68" s="66">
        <f>IF(OR(C68="",COUNTA(Members)=0),"",F68/COUNTA(Members))</f>
        <v/>
      </c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</row>
    <row r="69">
      <c r="A69" s="58">
        <f>IF(C69="","",ROW()-8)</f>
        <v/>
      </c>
      <c r="B69" s="65" t="n"/>
      <c r="C69" s="65" t="n"/>
      <c r="D69" s="65" t="n"/>
      <c r="E69" s="51" t="n"/>
      <c r="F69" s="58">
        <f>IF(C69="","",COUNTIF(H69:Q69,"Done"))</f>
        <v/>
      </c>
      <c r="G69" s="66">
        <f>IF(OR(C69="",COUNTA(Members)=0),"",F69/COUNTA(Members))</f>
        <v/>
      </c>
      <c r="H69" s="51" t="n"/>
      <c r="I69" s="51" t="n"/>
      <c r="J69" s="51" t="n"/>
      <c r="K69" s="51" t="n"/>
      <c r="L69" s="51" t="n"/>
      <c r="M69" s="51" t="n"/>
      <c r="N69" s="51" t="n"/>
      <c r="O69" s="51" t="n"/>
      <c r="P69" s="51" t="n"/>
      <c r="Q69" s="51" t="n"/>
    </row>
    <row r="70">
      <c r="A70" s="58">
        <f>IF(C70="","",ROW()-8)</f>
        <v/>
      </c>
      <c r="B70" s="65" t="n"/>
      <c r="C70" s="65" t="n"/>
      <c r="D70" s="65" t="n"/>
      <c r="E70" s="51" t="n"/>
      <c r="F70" s="58">
        <f>IF(C70="","",COUNTIF(H70:Q70,"Done"))</f>
        <v/>
      </c>
      <c r="G70" s="66">
        <f>IF(OR(C70="",COUNTA(Members)=0),"",F70/COUNTA(Members))</f>
        <v/>
      </c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</row>
    <row r="71">
      <c r="A71" s="58">
        <f>IF(C71="","",ROW()-8)</f>
        <v/>
      </c>
      <c r="B71" s="65" t="n"/>
      <c r="C71" s="65" t="n"/>
      <c r="D71" s="65" t="n"/>
      <c r="E71" s="51" t="n"/>
      <c r="F71" s="58">
        <f>IF(C71="","",COUNTIF(H71:Q71,"Done"))</f>
        <v/>
      </c>
      <c r="G71" s="66">
        <f>IF(OR(C71="",COUNTA(Members)=0),"",F71/COUNTA(Members))</f>
        <v/>
      </c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</row>
    <row r="72">
      <c r="A72" s="58">
        <f>IF(C72="","",ROW()-8)</f>
        <v/>
      </c>
      <c r="B72" s="65" t="n"/>
      <c r="C72" s="65" t="n"/>
      <c r="D72" s="65" t="n"/>
      <c r="E72" s="51" t="n"/>
      <c r="F72" s="58">
        <f>IF(C72="","",COUNTIF(H72:Q72,"Done"))</f>
        <v/>
      </c>
      <c r="G72" s="66">
        <f>IF(OR(C72="",COUNTA(Members)=0),"",F72/COUNTA(Members))</f>
        <v/>
      </c>
      <c r="H72" s="51" t="n"/>
      <c r="I72" s="51" t="n"/>
      <c r="J72" s="51" t="n"/>
      <c r="K72" s="51" t="n"/>
      <c r="L72" s="51" t="n"/>
      <c r="M72" s="51" t="n"/>
      <c r="N72" s="51" t="n"/>
      <c r="O72" s="51" t="n"/>
      <c r="P72" s="51" t="n"/>
      <c r="Q72" s="51" t="n"/>
    </row>
    <row r="73">
      <c r="A73" s="58">
        <f>IF(C73="","",ROW()-8)</f>
        <v/>
      </c>
      <c r="B73" s="65" t="n"/>
      <c r="C73" s="65" t="n"/>
      <c r="D73" s="65" t="n"/>
      <c r="E73" s="51" t="n"/>
      <c r="F73" s="58">
        <f>IF(C73="","",COUNTIF(H73:Q73,"Done"))</f>
        <v/>
      </c>
      <c r="G73" s="66">
        <f>IF(OR(C73="",COUNTA(Members)=0),"",F73/COUNTA(Members))</f>
        <v/>
      </c>
      <c r="H73" s="51" t="n"/>
      <c r="I73" s="51" t="n"/>
      <c r="J73" s="51" t="n"/>
      <c r="K73" s="51" t="n"/>
      <c r="L73" s="51" t="n"/>
      <c r="M73" s="51" t="n"/>
      <c r="N73" s="51" t="n"/>
      <c r="O73" s="51" t="n"/>
      <c r="P73" s="51" t="n"/>
      <c r="Q73" s="51" t="n"/>
    </row>
    <row r="74">
      <c r="A74" s="58">
        <f>IF(C74="","",ROW()-8)</f>
        <v/>
      </c>
      <c r="B74" s="65" t="n"/>
      <c r="C74" s="65" t="n"/>
      <c r="D74" s="65" t="n"/>
      <c r="E74" s="51" t="n"/>
      <c r="F74" s="58">
        <f>IF(C74="","",COUNTIF(H74:Q74,"Done"))</f>
        <v/>
      </c>
      <c r="G74" s="66">
        <f>IF(OR(C74="",COUNTA(Members)=0),"",F74/COUNTA(Members))</f>
        <v/>
      </c>
      <c r="H74" s="51" t="n"/>
      <c r="I74" s="51" t="n"/>
      <c r="J74" s="51" t="n"/>
      <c r="K74" s="51" t="n"/>
      <c r="L74" s="51" t="n"/>
      <c r="M74" s="51" t="n"/>
      <c r="N74" s="51" t="n"/>
      <c r="O74" s="51" t="n"/>
      <c r="P74" s="51" t="n"/>
      <c r="Q74" s="51" t="n"/>
    </row>
    <row r="75">
      <c r="A75" s="58">
        <f>IF(C75="","",ROW()-8)</f>
        <v/>
      </c>
      <c r="B75" s="65" t="n"/>
      <c r="C75" s="65" t="n"/>
      <c r="D75" s="65" t="n"/>
      <c r="E75" s="51" t="n"/>
      <c r="F75" s="58">
        <f>IF(C75="","",COUNTIF(H75:Q75,"Done"))</f>
        <v/>
      </c>
      <c r="G75" s="66">
        <f>IF(OR(C75="",COUNTA(Members)=0),"",F75/COUNTA(Members))</f>
        <v/>
      </c>
      <c r="H75" s="51" t="n"/>
      <c r="I75" s="51" t="n"/>
      <c r="J75" s="51" t="n"/>
      <c r="K75" s="51" t="n"/>
      <c r="L75" s="51" t="n"/>
      <c r="M75" s="51" t="n"/>
      <c r="N75" s="51" t="n"/>
      <c r="O75" s="51" t="n"/>
      <c r="P75" s="51" t="n"/>
      <c r="Q75" s="51" t="n"/>
    </row>
    <row r="76">
      <c r="A76" s="58">
        <f>IF(C76="","",ROW()-8)</f>
        <v/>
      </c>
      <c r="B76" s="65" t="n"/>
      <c r="C76" s="65" t="n"/>
      <c r="D76" s="65" t="n"/>
      <c r="E76" s="51" t="n"/>
      <c r="F76" s="58">
        <f>IF(C76="","",COUNTIF(H76:Q76,"Done"))</f>
        <v/>
      </c>
      <c r="G76" s="66">
        <f>IF(OR(C76="",COUNTA(Members)=0),"",F76/COUNTA(Members))</f>
        <v/>
      </c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</row>
    <row r="77">
      <c r="A77" s="58">
        <f>IF(C77="","",ROW()-8)</f>
        <v/>
      </c>
      <c r="B77" s="65" t="n"/>
      <c r="C77" s="65" t="n"/>
      <c r="D77" s="65" t="n"/>
      <c r="E77" s="51" t="n"/>
      <c r="F77" s="58">
        <f>IF(C77="","",COUNTIF(H77:Q77,"Done"))</f>
        <v/>
      </c>
      <c r="G77" s="66">
        <f>IF(OR(C77="",COUNTA(Members)=0),"",F77/COUNTA(Members))</f>
        <v/>
      </c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1" t="n"/>
    </row>
    <row r="78">
      <c r="A78" s="58">
        <f>IF(C78="","",ROW()-8)</f>
        <v/>
      </c>
      <c r="B78" s="65" t="n"/>
      <c r="C78" s="65" t="n"/>
      <c r="D78" s="65" t="n"/>
      <c r="E78" s="51" t="n"/>
      <c r="F78" s="58">
        <f>IF(C78="","",COUNTIF(H78:Q78,"Done"))</f>
        <v/>
      </c>
      <c r="G78" s="66">
        <f>IF(OR(C78="",COUNTA(Members)=0),"",F78/COUNTA(Members))</f>
        <v/>
      </c>
      <c r="H78" s="51" t="n"/>
      <c r="I78" s="51" t="n"/>
      <c r="J78" s="51" t="n"/>
      <c r="K78" s="51" t="n"/>
      <c r="L78" s="51" t="n"/>
      <c r="M78" s="51" t="n"/>
      <c r="N78" s="51" t="n"/>
      <c r="O78" s="51" t="n"/>
      <c r="P78" s="51" t="n"/>
      <c r="Q78" s="51" t="n"/>
    </row>
    <row r="79">
      <c r="A79" s="58">
        <f>IF(C79="","",ROW()-8)</f>
        <v/>
      </c>
      <c r="B79" s="65" t="n"/>
      <c r="C79" s="65" t="n"/>
      <c r="D79" s="65" t="n"/>
      <c r="E79" s="51" t="n"/>
      <c r="F79" s="58">
        <f>IF(C79="","",COUNTIF(H79:Q79,"Done"))</f>
        <v/>
      </c>
      <c r="G79" s="66">
        <f>IF(OR(C79="",COUNTA(Members)=0),"",F79/COUNTA(Members))</f>
        <v/>
      </c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</row>
    <row r="80">
      <c r="A80" s="58">
        <f>IF(C80="","",ROW()-8)</f>
        <v/>
      </c>
      <c r="B80" s="65" t="n"/>
      <c r="C80" s="65" t="n"/>
      <c r="D80" s="65" t="n"/>
      <c r="E80" s="51" t="n"/>
      <c r="F80" s="58">
        <f>IF(C80="","",COUNTIF(H80:Q80,"Done"))</f>
        <v/>
      </c>
      <c r="G80" s="66">
        <f>IF(OR(C80="",COUNTA(Members)=0),"",F80/COUNTA(Members))</f>
        <v/>
      </c>
      <c r="H80" s="51" t="n"/>
      <c r="I80" s="51" t="n"/>
      <c r="J80" s="51" t="n"/>
      <c r="K80" s="51" t="n"/>
      <c r="L80" s="51" t="n"/>
      <c r="M80" s="51" t="n"/>
      <c r="N80" s="51" t="n"/>
      <c r="O80" s="51" t="n"/>
      <c r="P80" s="51" t="n"/>
      <c r="Q80" s="51" t="n"/>
    </row>
    <row r="81">
      <c r="A81" s="58">
        <f>IF(C81="","",ROW()-8)</f>
        <v/>
      </c>
      <c r="B81" s="65" t="n"/>
      <c r="C81" s="65" t="n"/>
      <c r="D81" s="65" t="n"/>
      <c r="E81" s="51" t="n"/>
      <c r="F81" s="58">
        <f>IF(C81="","",COUNTIF(H81:Q81,"Done"))</f>
        <v/>
      </c>
      <c r="G81" s="66">
        <f>IF(OR(C81="",COUNTA(Members)=0),"",F81/COUNTA(Members))</f>
        <v/>
      </c>
      <c r="H81" s="51" t="n"/>
      <c r="I81" s="51" t="n"/>
      <c r="J81" s="51" t="n"/>
      <c r="K81" s="51" t="n"/>
      <c r="L81" s="51" t="n"/>
      <c r="M81" s="51" t="n"/>
      <c r="N81" s="51" t="n"/>
      <c r="O81" s="51" t="n"/>
      <c r="P81" s="51" t="n"/>
      <c r="Q81" s="51" t="n"/>
    </row>
    <row r="82">
      <c r="A82" s="58">
        <f>IF(C82="","",ROW()-8)</f>
        <v/>
      </c>
      <c r="B82" s="65" t="n"/>
      <c r="C82" s="65" t="n"/>
      <c r="D82" s="65" t="n"/>
      <c r="E82" s="51" t="n"/>
      <c r="F82" s="58">
        <f>IF(C82="","",COUNTIF(H82:Q82,"Done"))</f>
        <v/>
      </c>
      <c r="G82" s="66">
        <f>IF(OR(C82="",COUNTA(Members)=0),"",F82/COUNTA(Members))</f>
        <v/>
      </c>
      <c r="H82" s="51" t="n"/>
      <c r="I82" s="51" t="n"/>
      <c r="J82" s="51" t="n"/>
      <c r="K82" s="51" t="n"/>
      <c r="L82" s="51" t="n"/>
      <c r="M82" s="51" t="n"/>
      <c r="N82" s="51" t="n"/>
      <c r="O82" s="51" t="n"/>
      <c r="P82" s="51" t="n"/>
      <c r="Q82" s="51" t="n"/>
    </row>
    <row r="83">
      <c r="A83" s="58">
        <f>IF(C83="","",ROW()-8)</f>
        <v/>
      </c>
      <c r="B83" s="65" t="n"/>
      <c r="C83" s="65" t="n"/>
      <c r="D83" s="65" t="n"/>
      <c r="E83" s="51" t="n"/>
      <c r="F83" s="58">
        <f>IF(C83="","",COUNTIF(H83:Q83,"Done"))</f>
        <v/>
      </c>
      <c r="G83" s="66">
        <f>IF(OR(C83="",COUNTA(Members)=0),"",F83/COUNTA(Members))</f>
        <v/>
      </c>
      <c r="H83" s="51" t="n"/>
      <c r="I83" s="51" t="n"/>
      <c r="J83" s="51" t="n"/>
      <c r="K83" s="51" t="n"/>
      <c r="L83" s="51" t="n"/>
      <c r="M83" s="51" t="n"/>
      <c r="N83" s="51" t="n"/>
      <c r="O83" s="51" t="n"/>
      <c r="P83" s="51" t="n"/>
      <c r="Q83" s="51" t="n"/>
    </row>
    <row r="84">
      <c r="A84" s="58">
        <f>IF(C84="","",ROW()-8)</f>
        <v/>
      </c>
      <c r="B84" s="65" t="n"/>
      <c r="C84" s="65" t="n"/>
      <c r="D84" s="65" t="n"/>
      <c r="E84" s="51" t="n"/>
      <c r="F84" s="58">
        <f>IF(C84="","",COUNTIF(H84:Q84,"Done"))</f>
        <v/>
      </c>
      <c r="G84" s="66">
        <f>IF(OR(C84="",COUNTA(Members)=0),"",F84/COUNTA(Members))</f>
        <v/>
      </c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1" t="n"/>
    </row>
    <row r="85">
      <c r="A85" s="58">
        <f>IF(C85="","",ROW()-8)</f>
        <v/>
      </c>
      <c r="B85" s="65" t="n"/>
      <c r="C85" s="65" t="n"/>
      <c r="D85" s="65" t="n"/>
      <c r="E85" s="51" t="n"/>
      <c r="F85" s="58">
        <f>IF(C85="","",COUNTIF(H85:Q85,"Done"))</f>
        <v/>
      </c>
      <c r="G85" s="66">
        <f>IF(OR(C85="",COUNTA(Members)=0),"",F85/COUNTA(Members))</f>
        <v/>
      </c>
      <c r="H85" s="51" t="n"/>
      <c r="I85" s="51" t="n"/>
      <c r="J85" s="51" t="n"/>
      <c r="K85" s="51" t="n"/>
      <c r="L85" s="51" t="n"/>
      <c r="M85" s="51" t="n"/>
      <c r="N85" s="51" t="n"/>
      <c r="O85" s="51" t="n"/>
      <c r="P85" s="51" t="n"/>
      <c r="Q85" s="51" t="n"/>
    </row>
    <row r="86">
      <c r="A86" s="58">
        <f>IF(C86="","",ROW()-8)</f>
        <v/>
      </c>
      <c r="B86" s="65" t="n"/>
      <c r="C86" s="65" t="n"/>
      <c r="D86" s="65" t="n"/>
      <c r="E86" s="51" t="n"/>
      <c r="F86" s="58">
        <f>IF(C86="","",COUNTIF(H86:Q86,"Done"))</f>
        <v/>
      </c>
      <c r="G86" s="66">
        <f>IF(OR(C86="",COUNTA(Members)=0),"",F86/COUNTA(Members))</f>
        <v/>
      </c>
      <c r="H86" s="51" t="n"/>
      <c r="I86" s="51" t="n"/>
      <c r="J86" s="51" t="n"/>
      <c r="K86" s="51" t="n"/>
      <c r="L86" s="51" t="n"/>
      <c r="M86" s="51" t="n"/>
      <c r="N86" s="51" t="n"/>
      <c r="O86" s="51" t="n"/>
      <c r="P86" s="51" t="n"/>
      <c r="Q86" s="51" t="n"/>
    </row>
    <row r="87">
      <c r="A87" s="58">
        <f>IF(C87="","",ROW()-8)</f>
        <v/>
      </c>
      <c r="B87" s="65" t="n"/>
      <c r="C87" s="65" t="n"/>
      <c r="D87" s="65" t="n"/>
      <c r="E87" s="51" t="n"/>
      <c r="F87" s="58">
        <f>IF(C87="","",COUNTIF(H87:Q87,"Done"))</f>
        <v/>
      </c>
      <c r="G87" s="66">
        <f>IF(OR(C87="",COUNTA(Members)=0),"",F87/COUNTA(Members))</f>
        <v/>
      </c>
      <c r="H87" s="51" t="n"/>
      <c r="I87" s="51" t="n"/>
      <c r="J87" s="51" t="n"/>
      <c r="K87" s="51" t="n"/>
      <c r="L87" s="51" t="n"/>
      <c r="M87" s="51" t="n"/>
      <c r="N87" s="51" t="n"/>
      <c r="O87" s="51" t="n"/>
      <c r="P87" s="51" t="n"/>
      <c r="Q87" s="51" t="n"/>
    </row>
    <row r="88">
      <c r="A88" s="58">
        <f>IF(C88="","",ROW()-8)</f>
        <v/>
      </c>
      <c r="B88" s="65" t="n"/>
      <c r="C88" s="65" t="n"/>
      <c r="D88" s="65" t="n"/>
      <c r="E88" s="51" t="n"/>
      <c r="F88" s="58">
        <f>IF(C88="","",COUNTIF(H88:Q88,"Done"))</f>
        <v/>
      </c>
      <c r="G88" s="66">
        <f>IF(OR(C88="",COUNTA(Members)=0),"",F88/COUNTA(Members))</f>
        <v/>
      </c>
      <c r="H88" s="51" t="n"/>
      <c r="I88" s="51" t="n"/>
      <c r="J88" s="51" t="n"/>
      <c r="K88" s="51" t="n"/>
      <c r="L88" s="51" t="n"/>
      <c r="M88" s="51" t="n"/>
      <c r="N88" s="51" t="n"/>
      <c r="O88" s="51" t="n"/>
      <c r="P88" s="51" t="n"/>
      <c r="Q88" s="51" t="n"/>
    </row>
    <row r="89">
      <c r="A89" s="58">
        <f>IF(C89="","",ROW()-8)</f>
        <v/>
      </c>
      <c r="B89" s="65" t="n"/>
      <c r="C89" s="65" t="n"/>
      <c r="D89" s="65" t="n"/>
      <c r="E89" s="51" t="n"/>
      <c r="F89" s="58">
        <f>IF(C89="","",COUNTIF(H89:Q89,"Done"))</f>
        <v/>
      </c>
      <c r="G89" s="66">
        <f>IF(OR(C89="",COUNTA(Members)=0),"",F89/COUNTA(Members))</f>
        <v/>
      </c>
      <c r="H89" s="51" t="n"/>
      <c r="I89" s="51" t="n"/>
      <c r="J89" s="51" t="n"/>
      <c r="K89" s="51" t="n"/>
      <c r="L89" s="51" t="n"/>
      <c r="M89" s="51" t="n"/>
      <c r="N89" s="51" t="n"/>
      <c r="O89" s="51" t="n"/>
      <c r="P89" s="51" t="n"/>
      <c r="Q89" s="51" t="n"/>
    </row>
    <row r="90">
      <c r="A90" s="58">
        <f>IF(C90="","",ROW()-8)</f>
        <v/>
      </c>
      <c r="B90" s="65" t="n"/>
      <c r="C90" s="65" t="n"/>
      <c r="D90" s="65" t="n"/>
      <c r="E90" s="51" t="n"/>
      <c r="F90" s="58">
        <f>IF(C90="","",COUNTIF(H90:Q90,"Done"))</f>
        <v/>
      </c>
      <c r="G90" s="66">
        <f>IF(OR(C90="",COUNTA(Members)=0),"",F90/COUNTA(Members))</f>
        <v/>
      </c>
      <c r="H90" s="51" t="n"/>
      <c r="I90" s="51" t="n"/>
      <c r="J90" s="51" t="n"/>
      <c r="K90" s="51" t="n"/>
      <c r="L90" s="51" t="n"/>
      <c r="M90" s="51" t="n"/>
      <c r="N90" s="51" t="n"/>
      <c r="O90" s="51" t="n"/>
      <c r="P90" s="51" t="n"/>
      <c r="Q90" s="51" t="n"/>
    </row>
    <row r="91">
      <c r="A91" s="58">
        <f>IF(C91="","",ROW()-8)</f>
        <v/>
      </c>
      <c r="B91" s="65" t="n"/>
      <c r="C91" s="65" t="n"/>
      <c r="D91" s="65" t="n"/>
      <c r="E91" s="51" t="n"/>
      <c r="F91" s="58">
        <f>IF(C91="","",COUNTIF(H91:Q91,"Done"))</f>
        <v/>
      </c>
      <c r="G91" s="66">
        <f>IF(OR(C91="",COUNTA(Members)=0),"",F91/COUNTA(Members))</f>
        <v/>
      </c>
      <c r="H91" s="51" t="n"/>
      <c r="I91" s="51" t="n"/>
      <c r="J91" s="51" t="n"/>
      <c r="K91" s="51" t="n"/>
      <c r="L91" s="51" t="n"/>
      <c r="M91" s="51" t="n"/>
      <c r="N91" s="51" t="n"/>
      <c r="O91" s="51" t="n"/>
      <c r="P91" s="51" t="n"/>
      <c r="Q91" s="51" t="n"/>
    </row>
    <row r="92">
      <c r="A92" s="58">
        <f>IF(C92="","",ROW()-8)</f>
        <v/>
      </c>
      <c r="B92" s="65" t="n"/>
      <c r="C92" s="65" t="n"/>
      <c r="D92" s="65" t="n"/>
      <c r="E92" s="51" t="n"/>
      <c r="F92" s="58">
        <f>IF(C92="","",COUNTIF(H92:Q92,"Done"))</f>
        <v/>
      </c>
      <c r="G92" s="66">
        <f>IF(OR(C92="",COUNTA(Members)=0),"",F92/COUNTA(Members))</f>
        <v/>
      </c>
      <c r="H92" s="51" t="n"/>
      <c r="I92" s="51" t="n"/>
      <c r="J92" s="51" t="n"/>
      <c r="K92" s="51" t="n"/>
      <c r="L92" s="51" t="n"/>
      <c r="M92" s="51" t="n"/>
      <c r="N92" s="51" t="n"/>
      <c r="O92" s="51" t="n"/>
      <c r="P92" s="51" t="n"/>
      <c r="Q92" s="51" t="n"/>
    </row>
    <row r="93">
      <c r="A93" s="58">
        <f>IF(C93="","",ROW()-8)</f>
        <v/>
      </c>
      <c r="B93" s="65" t="n"/>
      <c r="C93" s="65" t="n"/>
      <c r="D93" s="65" t="n"/>
      <c r="E93" s="51" t="n"/>
      <c r="F93" s="58">
        <f>IF(C93="","",COUNTIF(H93:Q93,"Done"))</f>
        <v/>
      </c>
      <c r="G93" s="66">
        <f>IF(OR(C93="",COUNTA(Members)=0),"",F93/COUNTA(Members))</f>
        <v/>
      </c>
      <c r="H93" s="51" t="n"/>
      <c r="I93" s="51" t="n"/>
      <c r="J93" s="51" t="n"/>
      <c r="K93" s="51" t="n"/>
      <c r="L93" s="51" t="n"/>
      <c r="M93" s="51" t="n"/>
      <c r="N93" s="51" t="n"/>
      <c r="O93" s="51" t="n"/>
      <c r="P93" s="51" t="n"/>
      <c r="Q93" s="51" t="n"/>
    </row>
    <row r="94">
      <c r="A94" s="58">
        <f>IF(C94="","",ROW()-8)</f>
        <v/>
      </c>
      <c r="B94" s="65" t="n"/>
      <c r="C94" s="65" t="n"/>
      <c r="D94" s="65" t="n"/>
      <c r="E94" s="51" t="n"/>
      <c r="F94" s="58">
        <f>IF(C94="","",COUNTIF(H94:Q94,"Done"))</f>
        <v/>
      </c>
      <c r="G94" s="66">
        <f>IF(OR(C94="",COUNTA(Members)=0),"",F94/COUNTA(Members))</f>
        <v/>
      </c>
      <c r="H94" s="51" t="n"/>
      <c r="I94" s="51" t="n"/>
      <c r="J94" s="51" t="n"/>
      <c r="K94" s="51" t="n"/>
      <c r="L94" s="51" t="n"/>
      <c r="M94" s="51" t="n"/>
      <c r="N94" s="51" t="n"/>
      <c r="O94" s="51" t="n"/>
      <c r="P94" s="51" t="n"/>
      <c r="Q94" s="51" t="n"/>
    </row>
    <row r="95">
      <c r="A95" s="58">
        <f>IF(C95="","",ROW()-8)</f>
        <v/>
      </c>
      <c r="B95" s="65" t="n"/>
      <c r="C95" s="65" t="n"/>
      <c r="D95" s="65" t="n"/>
      <c r="E95" s="51" t="n"/>
      <c r="F95" s="58">
        <f>IF(C95="","",COUNTIF(H95:Q95,"Done"))</f>
        <v/>
      </c>
      <c r="G95" s="66">
        <f>IF(OR(C95="",COUNTA(Members)=0),"",F95/COUNTA(Members))</f>
        <v/>
      </c>
      <c r="H95" s="51" t="n"/>
      <c r="I95" s="51" t="n"/>
      <c r="J95" s="51" t="n"/>
      <c r="K95" s="51" t="n"/>
      <c r="L95" s="51" t="n"/>
      <c r="M95" s="51" t="n"/>
      <c r="N95" s="51" t="n"/>
      <c r="O95" s="51" t="n"/>
      <c r="P95" s="51" t="n"/>
      <c r="Q95" s="51" t="n"/>
    </row>
    <row r="96">
      <c r="A96" s="58">
        <f>IF(C96="","",ROW()-8)</f>
        <v/>
      </c>
      <c r="B96" s="65" t="n"/>
      <c r="C96" s="65" t="n"/>
      <c r="D96" s="65" t="n"/>
      <c r="E96" s="51" t="n"/>
      <c r="F96" s="58">
        <f>IF(C96="","",COUNTIF(H96:Q96,"Done"))</f>
        <v/>
      </c>
      <c r="G96" s="66">
        <f>IF(OR(C96="",COUNTA(Members)=0),"",F96/COUNTA(Members))</f>
        <v/>
      </c>
      <c r="H96" s="51" t="n"/>
      <c r="I96" s="51" t="n"/>
      <c r="J96" s="51" t="n"/>
      <c r="K96" s="51" t="n"/>
      <c r="L96" s="51" t="n"/>
      <c r="M96" s="51" t="n"/>
      <c r="N96" s="51" t="n"/>
      <c r="O96" s="51" t="n"/>
      <c r="P96" s="51" t="n"/>
      <c r="Q96" s="51" t="n"/>
    </row>
    <row r="97">
      <c r="A97" s="58">
        <f>IF(C97="","",ROW()-8)</f>
        <v/>
      </c>
      <c r="B97" s="65" t="n"/>
      <c r="C97" s="65" t="n"/>
      <c r="D97" s="65" t="n"/>
      <c r="E97" s="51" t="n"/>
      <c r="F97" s="58">
        <f>IF(C97="","",COUNTIF(H97:Q97,"Done"))</f>
        <v/>
      </c>
      <c r="G97" s="66">
        <f>IF(OR(C97="",COUNTA(Members)=0),"",F97/COUNTA(Members))</f>
        <v/>
      </c>
      <c r="H97" s="51" t="n"/>
      <c r="I97" s="51" t="n"/>
      <c r="J97" s="51" t="n"/>
      <c r="K97" s="51" t="n"/>
      <c r="L97" s="51" t="n"/>
      <c r="M97" s="51" t="n"/>
      <c r="N97" s="51" t="n"/>
      <c r="O97" s="51" t="n"/>
      <c r="P97" s="51" t="n"/>
      <c r="Q97" s="51" t="n"/>
    </row>
    <row r="98">
      <c r="A98" s="58">
        <f>IF(C98="","",ROW()-8)</f>
        <v/>
      </c>
      <c r="B98" s="65" t="n"/>
      <c r="C98" s="65" t="n"/>
      <c r="D98" s="65" t="n"/>
      <c r="E98" s="51" t="n"/>
      <c r="F98" s="58">
        <f>IF(C98="","",COUNTIF(H98:Q98,"Done"))</f>
        <v/>
      </c>
      <c r="G98" s="66">
        <f>IF(OR(C98="",COUNTA(Members)=0),"",F98/COUNTA(Members))</f>
        <v/>
      </c>
      <c r="H98" s="51" t="n"/>
      <c r="I98" s="51" t="n"/>
      <c r="J98" s="51" t="n"/>
      <c r="K98" s="51" t="n"/>
      <c r="L98" s="51" t="n"/>
      <c r="M98" s="51" t="n"/>
      <c r="N98" s="51" t="n"/>
      <c r="O98" s="51" t="n"/>
      <c r="P98" s="51" t="n"/>
      <c r="Q98" s="51" t="n"/>
    </row>
    <row r="99">
      <c r="A99" s="58">
        <f>IF(C99="","",ROW()-8)</f>
        <v/>
      </c>
      <c r="B99" s="65" t="n"/>
      <c r="C99" s="65" t="n"/>
      <c r="D99" s="65" t="n"/>
      <c r="E99" s="51" t="n"/>
      <c r="F99" s="58">
        <f>IF(C99="","",COUNTIF(H99:Q99,"Done"))</f>
        <v/>
      </c>
      <c r="G99" s="66">
        <f>IF(OR(C99="",COUNTA(Members)=0),"",F99/COUNTA(Members))</f>
        <v/>
      </c>
      <c r="H99" s="51" t="n"/>
      <c r="I99" s="51" t="n"/>
      <c r="J99" s="51" t="n"/>
      <c r="K99" s="51" t="n"/>
      <c r="L99" s="51" t="n"/>
      <c r="M99" s="51" t="n"/>
      <c r="N99" s="51" t="n"/>
      <c r="O99" s="51" t="n"/>
      <c r="P99" s="51" t="n"/>
      <c r="Q99" s="51" t="n"/>
    </row>
    <row r="100">
      <c r="A100" s="58">
        <f>IF(C100="","",ROW()-8)</f>
        <v/>
      </c>
      <c r="B100" s="65" t="n"/>
      <c r="C100" s="65" t="n"/>
      <c r="D100" s="65" t="n"/>
      <c r="E100" s="51" t="n"/>
      <c r="F100" s="58">
        <f>IF(C100="","",COUNTIF(H100:Q100,"Done"))</f>
        <v/>
      </c>
      <c r="G100" s="66">
        <f>IF(OR(C100="",COUNTA(Members)=0),"",F100/COUNTA(Members))</f>
        <v/>
      </c>
      <c r="H100" s="51" t="n"/>
      <c r="I100" s="51" t="n"/>
      <c r="J100" s="51" t="n"/>
      <c r="K100" s="51" t="n"/>
      <c r="L100" s="51" t="n"/>
      <c r="M100" s="51" t="n"/>
      <c r="N100" s="51" t="n"/>
      <c r="O100" s="51" t="n"/>
      <c r="P100" s="51" t="n"/>
      <c r="Q100" s="51" t="n"/>
    </row>
    <row r="101">
      <c r="A101" s="58">
        <f>IF(C101="","",ROW()-8)</f>
        <v/>
      </c>
      <c r="B101" s="65" t="n"/>
      <c r="C101" s="65" t="n"/>
      <c r="D101" s="65" t="n"/>
      <c r="E101" s="51" t="n"/>
      <c r="F101" s="58">
        <f>IF(C101="","",COUNTIF(H101:Q101,"Done"))</f>
        <v/>
      </c>
      <c r="G101" s="66">
        <f>IF(OR(C101="",COUNTA(Members)=0),"",F101/COUNTA(Members))</f>
        <v/>
      </c>
      <c r="H101" s="51" t="n"/>
      <c r="I101" s="51" t="n"/>
      <c r="J101" s="51" t="n"/>
      <c r="K101" s="51" t="n"/>
      <c r="L101" s="51" t="n"/>
      <c r="M101" s="51" t="n"/>
      <c r="N101" s="51" t="n"/>
      <c r="O101" s="51" t="n"/>
      <c r="P101" s="51" t="n"/>
      <c r="Q101" s="51" t="n"/>
    </row>
    <row r="102">
      <c r="A102" s="58">
        <f>IF(C102="","",ROW()-8)</f>
        <v/>
      </c>
      <c r="B102" s="65" t="n"/>
      <c r="C102" s="65" t="n"/>
      <c r="D102" s="65" t="n"/>
      <c r="E102" s="51" t="n"/>
      <c r="F102" s="58">
        <f>IF(C102="","",COUNTIF(H102:Q102,"Done"))</f>
        <v/>
      </c>
      <c r="G102" s="66">
        <f>IF(OR(C102="",COUNTA(Members)=0),"",F102/COUNTA(Members))</f>
        <v/>
      </c>
      <c r="H102" s="51" t="n"/>
      <c r="I102" s="51" t="n"/>
      <c r="J102" s="51" t="n"/>
      <c r="K102" s="51" t="n"/>
      <c r="L102" s="51" t="n"/>
      <c r="M102" s="51" t="n"/>
      <c r="N102" s="51" t="n"/>
      <c r="O102" s="51" t="n"/>
      <c r="P102" s="51" t="n"/>
      <c r="Q102" s="51" t="n"/>
    </row>
    <row r="103">
      <c r="A103" s="58">
        <f>IF(C103="","",ROW()-8)</f>
        <v/>
      </c>
      <c r="B103" s="65" t="n"/>
      <c r="C103" s="65" t="n"/>
      <c r="D103" s="65" t="n"/>
      <c r="E103" s="51" t="n"/>
      <c r="F103" s="58">
        <f>IF(C103="","",COUNTIF(H103:Q103,"Done"))</f>
        <v/>
      </c>
      <c r="G103" s="66">
        <f>IF(OR(C103="",COUNTA(Members)=0),"",F103/COUNTA(Members))</f>
        <v/>
      </c>
      <c r="H103" s="51" t="n"/>
      <c r="I103" s="51" t="n"/>
      <c r="J103" s="51" t="n"/>
      <c r="K103" s="51" t="n"/>
      <c r="L103" s="51" t="n"/>
      <c r="M103" s="51" t="n"/>
      <c r="N103" s="51" t="n"/>
      <c r="O103" s="51" t="n"/>
      <c r="P103" s="51" t="n"/>
      <c r="Q103" s="51" t="n"/>
    </row>
    <row r="104">
      <c r="A104" s="58">
        <f>IF(C104="","",ROW()-8)</f>
        <v/>
      </c>
      <c r="B104" s="65" t="n"/>
      <c r="C104" s="65" t="n"/>
      <c r="D104" s="65" t="n"/>
      <c r="E104" s="51" t="n"/>
      <c r="F104" s="58">
        <f>IF(C104="","",COUNTIF(H104:Q104,"Done"))</f>
        <v/>
      </c>
      <c r="G104" s="66">
        <f>IF(OR(C104="",COUNTA(Members)=0),"",F104/COUNTA(Members))</f>
        <v/>
      </c>
      <c r="H104" s="51" t="n"/>
      <c r="I104" s="51" t="n"/>
      <c r="J104" s="51" t="n"/>
      <c r="K104" s="51" t="n"/>
      <c r="L104" s="51" t="n"/>
      <c r="M104" s="51" t="n"/>
      <c r="N104" s="51" t="n"/>
      <c r="O104" s="51" t="n"/>
      <c r="P104" s="51" t="n"/>
      <c r="Q104" s="51" t="n"/>
    </row>
    <row r="105">
      <c r="A105" s="58">
        <f>IF(C105="","",ROW()-8)</f>
        <v/>
      </c>
      <c r="B105" s="65" t="n"/>
      <c r="C105" s="65" t="n"/>
      <c r="D105" s="65" t="n"/>
      <c r="E105" s="51" t="n"/>
      <c r="F105" s="58">
        <f>IF(C105="","",COUNTIF(H105:Q105,"Done"))</f>
        <v/>
      </c>
      <c r="G105" s="66">
        <f>IF(OR(C105="",COUNTA(Members)=0),"",F105/COUNTA(Members))</f>
        <v/>
      </c>
      <c r="H105" s="51" t="n"/>
      <c r="I105" s="51" t="n"/>
      <c r="J105" s="51" t="n"/>
      <c r="K105" s="51" t="n"/>
      <c r="L105" s="51" t="n"/>
      <c r="M105" s="51" t="n"/>
      <c r="N105" s="51" t="n"/>
      <c r="O105" s="51" t="n"/>
      <c r="P105" s="51" t="n"/>
      <c r="Q105" s="51" t="n"/>
    </row>
    <row r="106">
      <c r="A106" s="58">
        <f>IF(C106="","",ROW()-8)</f>
        <v/>
      </c>
      <c r="B106" s="65" t="n"/>
      <c r="C106" s="65" t="n"/>
      <c r="D106" s="65" t="n"/>
      <c r="E106" s="51" t="n"/>
      <c r="F106" s="58">
        <f>IF(C106="","",COUNTIF(H106:Q106,"Done"))</f>
        <v/>
      </c>
      <c r="G106" s="66">
        <f>IF(OR(C106="",COUNTA(Members)=0),"",F106/COUNTA(Members))</f>
        <v/>
      </c>
      <c r="H106" s="51" t="n"/>
      <c r="I106" s="51" t="n"/>
      <c r="J106" s="51" t="n"/>
      <c r="K106" s="51" t="n"/>
      <c r="L106" s="51" t="n"/>
      <c r="M106" s="51" t="n"/>
      <c r="N106" s="51" t="n"/>
      <c r="O106" s="51" t="n"/>
      <c r="P106" s="51" t="n"/>
      <c r="Q106" s="51" t="n"/>
    </row>
    <row r="107">
      <c r="A107" s="58">
        <f>IF(C107="","",ROW()-8)</f>
        <v/>
      </c>
      <c r="B107" s="65" t="n"/>
      <c r="C107" s="65" t="n"/>
      <c r="D107" s="65" t="n"/>
      <c r="E107" s="51" t="n"/>
      <c r="F107" s="58">
        <f>IF(C107="","",COUNTIF(H107:Q107,"Done"))</f>
        <v/>
      </c>
      <c r="G107" s="66">
        <f>IF(OR(C107="",COUNTA(Members)=0),"",F107/COUNTA(Members))</f>
        <v/>
      </c>
      <c r="H107" s="51" t="n"/>
      <c r="I107" s="51" t="n"/>
      <c r="J107" s="51" t="n"/>
      <c r="K107" s="51" t="n"/>
      <c r="L107" s="51" t="n"/>
      <c r="M107" s="51" t="n"/>
      <c r="N107" s="51" t="n"/>
      <c r="O107" s="51" t="n"/>
      <c r="P107" s="51" t="n"/>
      <c r="Q107" s="51" t="n"/>
    </row>
    <row r="108">
      <c r="A108" s="58">
        <f>IF(C108="","",ROW()-8)</f>
        <v/>
      </c>
      <c r="B108" s="65" t="n"/>
      <c r="C108" s="65" t="n"/>
      <c r="D108" s="65" t="n"/>
      <c r="E108" s="51" t="n"/>
      <c r="F108" s="58">
        <f>IF(C108="","",COUNTIF(H108:Q108,"Done"))</f>
        <v/>
      </c>
      <c r="G108" s="66">
        <f>IF(OR(C108="",COUNTA(Members)=0),"",F108/COUNTA(Members))</f>
        <v/>
      </c>
      <c r="H108" s="51" t="n"/>
      <c r="I108" s="51" t="n"/>
      <c r="J108" s="51" t="n"/>
      <c r="K108" s="51" t="n"/>
      <c r="L108" s="51" t="n"/>
      <c r="M108" s="51" t="n"/>
      <c r="N108" s="51" t="n"/>
      <c r="O108" s="51" t="n"/>
      <c r="P108" s="51" t="n"/>
      <c r="Q108" s="51" t="n"/>
    </row>
    <row r="109">
      <c r="A109" s="58">
        <f>IF(C109="","",ROW()-8)</f>
        <v/>
      </c>
      <c r="B109" s="65" t="n"/>
      <c r="C109" s="65" t="n"/>
      <c r="D109" s="65" t="n"/>
      <c r="E109" s="51" t="n"/>
      <c r="F109" s="58">
        <f>IF(C109="","",COUNTIF(H109:Q109,"Done"))</f>
        <v/>
      </c>
      <c r="G109" s="66">
        <f>IF(OR(C109="",COUNTA(Members)=0),"",F109/COUNTA(Members))</f>
        <v/>
      </c>
      <c r="H109" s="51" t="n"/>
      <c r="I109" s="51" t="n"/>
      <c r="J109" s="51" t="n"/>
      <c r="K109" s="51" t="n"/>
      <c r="L109" s="51" t="n"/>
      <c r="M109" s="51" t="n"/>
      <c r="N109" s="51" t="n"/>
      <c r="O109" s="51" t="n"/>
      <c r="P109" s="51" t="n"/>
      <c r="Q109" s="51" t="n"/>
    </row>
    <row r="110">
      <c r="A110" s="58">
        <f>IF(C110="","",ROW()-8)</f>
        <v/>
      </c>
      <c r="B110" s="65" t="n"/>
      <c r="C110" s="65" t="n"/>
      <c r="D110" s="65" t="n"/>
      <c r="E110" s="51" t="n"/>
      <c r="F110" s="58">
        <f>IF(C110="","",COUNTIF(H110:Q110,"Done"))</f>
        <v/>
      </c>
      <c r="G110" s="66">
        <f>IF(OR(C110="",COUNTA(Members)=0),"",F110/COUNTA(Members))</f>
        <v/>
      </c>
      <c r="H110" s="51" t="n"/>
      <c r="I110" s="51" t="n"/>
      <c r="J110" s="51" t="n"/>
      <c r="K110" s="51" t="n"/>
      <c r="L110" s="51" t="n"/>
      <c r="M110" s="51" t="n"/>
      <c r="N110" s="51" t="n"/>
      <c r="O110" s="51" t="n"/>
      <c r="P110" s="51" t="n"/>
      <c r="Q110" s="51" t="n"/>
    </row>
    <row r="111">
      <c r="A111" s="58">
        <f>IF(C111="","",ROW()-8)</f>
        <v/>
      </c>
      <c r="B111" s="65" t="n"/>
      <c r="C111" s="65" t="n"/>
      <c r="D111" s="65" t="n"/>
      <c r="E111" s="51" t="n"/>
      <c r="F111" s="58">
        <f>IF(C111="","",COUNTIF(H111:Q111,"Done"))</f>
        <v/>
      </c>
      <c r="G111" s="66">
        <f>IF(OR(C111="",COUNTA(Members)=0),"",F111/COUNTA(Members))</f>
        <v/>
      </c>
      <c r="H111" s="51" t="n"/>
      <c r="I111" s="51" t="n"/>
      <c r="J111" s="51" t="n"/>
      <c r="K111" s="51" t="n"/>
      <c r="L111" s="51" t="n"/>
      <c r="M111" s="51" t="n"/>
      <c r="N111" s="51" t="n"/>
      <c r="O111" s="51" t="n"/>
      <c r="P111" s="51" t="n"/>
      <c r="Q111" s="51" t="n"/>
    </row>
    <row r="112">
      <c r="A112" s="58">
        <f>IF(C112="","",ROW()-8)</f>
        <v/>
      </c>
      <c r="B112" s="65" t="n"/>
      <c r="C112" s="65" t="n"/>
      <c r="D112" s="65" t="n"/>
      <c r="E112" s="51" t="n"/>
      <c r="F112" s="58">
        <f>IF(C112="","",COUNTIF(H112:Q112,"Done"))</f>
        <v/>
      </c>
      <c r="G112" s="66">
        <f>IF(OR(C112="",COUNTA(Members)=0),"",F112/COUNTA(Members))</f>
        <v/>
      </c>
      <c r="H112" s="51" t="n"/>
      <c r="I112" s="51" t="n"/>
      <c r="J112" s="51" t="n"/>
      <c r="K112" s="51" t="n"/>
      <c r="L112" s="51" t="n"/>
      <c r="M112" s="51" t="n"/>
      <c r="N112" s="51" t="n"/>
      <c r="O112" s="51" t="n"/>
      <c r="P112" s="51" t="n"/>
      <c r="Q112" s="51" t="n"/>
    </row>
    <row r="113">
      <c r="A113" s="58">
        <f>IF(C113="","",ROW()-8)</f>
        <v/>
      </c>
      <c r="B113" s="65" t="n"/>
      <c r="C113" s="65" t="n"/>
      <c r="D113" s="65" t="n"/>
      <c r="E113" s="51" t="n"/>
      <c r="F113" s="58">
        <f>IF(C113="","",COUNTIF(H113:Q113,"Done"))</f>
        <v/>
      </c>
      <c r="G113" s="66">
        <f>IF(OR(C113="",COUNTA(Members)=0),"",F113/COUNTA(Members))</f>
        <v/>
      </c>
      <c r="H113" s="51" t="n"/>
      <c r="I113" s="51" t="n"/>
      <c r="J113" s="51" t="n"/>
      <c r="K113" s="51" t="n"/>
      <c r="L113" s="51" t="n"/>
      <c r="M113" s="51" t="n"/>
      <c r="N113" s="51" t="n"/>
      <c r="O113" s="51" t="n"/>
      <c r="P113" s="51" t="n"/>
      <c r="Q113" s="51" t="n"/>
    </row>
    <row r="114">
      <c r="A114" s="58">
        <f>IF(C114="","",ROW()-8)</f>
        <v/>
      </c>
      <c r="B114" s="65" t="n"/>
      <c r="C114" s="65" t="n"/>
      <c r="D114" s="65" t="n"/>
      <c r="E114" s="51" t="n"/>
      <c r="F114" s="58">
        <f>IF(C114="","",COUNTIF(H114:Q114,"Done"))</f>
        <v/>
      </c>
      <c r="G114" s="66">
        <f>IF(OR(C114="",COUNTA(Members)=0),"",F114/COUNTA(Members))</f>
        <v/>
      </c>
      <c r="H114" s="51" t="n"/>
      <c r="I114" s="51" t="n"/>
      <c r="J114" s="51" t="n"/>
      <c r="K114" s="51" t="n"/>
      <c r="L114" s="51" t="n"/>
      <c r="M114" s="51" t="n"/>
      <c r="N114" s="51" t="n"/>
      <c r="O114" s="51" t="n"/>
      <c r="P114" s="51" t="n"/>
      <c r="Q114" s="51" t="n"/>
    </row>
    <row r="115">
      <c r="A115" s="58">
        <f>IF(C115="","",ROW()-8)</f>
        <v/>
      </c>
      <c r="B115" s="65" t="n"/>
      <c r="C115" s="65" t="n"/>
      <c r="D115" s="65" t="n"/>
      <c r="E115" s="51" t="n"/>
      <c r="F115" s="58">
        <f>IF(C115="","",COUNTIF(H115:Q115,"Done"))</f>
        <v/>
      </c>
      <c r="G115" s="66">
        <f>IF(OR(C115="",COUNTA(Members)=0),"",F115/COUNTA(Members))</f>
        <v/>
      </c>
      <c r="H115" s="51" t="n"/>
      <c r="I115" s="51" t="n"/>
      <c r="J115" s="51" t="n"/>
      <c r="K115" s="51" t="n"/>
      <c r="L115" s="51" t="n"/>
      <c r="M115" s="51" t="n"/>
      <c r="N115" s="51" t="n"/>
      <c r="O115" s="51" t="n"/>
      <c r="P115" s="51" t="n"/>
      <c r="Q115" s="51" t="n"/>
    </row>
    <row r="116">
      <c r="A116" s="58">
        <f>IF(C116="","",ROW()-8)</f>
        <v/>
      </c>
      <c r="B116" s="65" t="n"/>
      <c r="C116" s="65" t="n"/>
      <c r="D116" s="65" t="n"/>
      <c r="E116" s="51" t="n"/>
      <c r="F116" s="58">
        <f>IF(C116="","",COUNTIF(H116:Q116,"Done"))</f>
        <v/>
      </c>
      <c r="G116" s="66">
        <f>IF(OR(C116="",COUNTA(Members)=0),"",F116/COUNTA(Members))</f>
        <v/>
      </c>
      <c r="H116" s="51" t="n"/>
      <c r="I116" s="51" t="n"/>
      <c r="J116" s="51" t="n"/>
      <c r="K116" s="51" t="n"/>
      <c r="L116" s="51" t="n"/>
      <c r="M116" s="51" t="n"/>
      <c r="N116" s="51" t="n"/>
      <c r="O116" s="51" t="n"/>
      <c r="P116" s="51" t="n"/>
      <c r="Q116" s="51" t="n"/>
    </row>
    <row r="117">
      <c r="A117" s="58">
        <f>IF(C117="","",ROW()-8)</f>
        <v/>
      </c>
      <c r="B117" s="65" t="n"/>
      <c r="C117" s="65" t="n"/>
      <c r="D117" s="65" t="n"/>
      <c r="E117" s="51" t="n"/>
      <c r="F117" s="58">
        <f>IF(C117="","",COUNTIF(H117:Q117,"Done"))</f>
        <v/>
      </c>
      <c r="G117" s="66">
        <f>IF(OR(C117="",COUNTA(Members)=0),"",F117/COUNTA(Members))</f>
        <v/>
      </c>
      <c r="H117" s="51" t="n"/>
      <c r="I117" s="51" t="n"/>
      <c r="J117" s="51" t="n"/>
      <c r="K117" s="51" t="n"/>
      <c r="L117" s="51" t="n"/>
      <c r="M117" s="51" t="n"/>
      <c r="N117" s="51" t="n"/>
      <c r="O117" s="51" t="n"/>
      <c r="P117" s="51" t="n"/>
      <c r="Q117" s="51" t="n"/>
    </row>
    <row r="118">
      <c r="A118" s="58">
        <f>IF(C118="","",ROW()-8)</f>
        <v/>
      </c>
      <c r="B118" s="65" t="n"/>
      <c r="C118" s="65" t="n"/>
      <c r="D118" s="65" t="n"/>
      <c r="E118" s="51" t="n"/>
      <c r="F118" s="58">
        <f>IF(C118="","",COUNTIF(H118:Q118,"Done"))</f>
        <v/>
      </c>
      <c r="G118" s="66">
        <f>IF(OR(C118="",COUNTA(Members)=0),"",F118/COUNTA(Members))</f>
        <v/>
      </c>
      <c r="H118" s="51" t="n"/>
      <c r="I118" s="51" t="n"/>
      <c r="J118" s="51" t="n"/>
      <c r="K118" s="51" t="n"/>
      <c r="L118" s="51" t="n"/>
      <c r="M118" s="51" t="n"/>
      <c r="N118" s="51" t="n"/>
      <c r="O118" s="51" t="n"/>
      <c r="P118" s="51" t="n"/>
      <c r="Q118" s="51" t="n"/>
    </row>
    <row r="119">
      <c r="A119" s="58">
        <f>IF(C119="","",ROW()-8)</f>
        <v/>
      </c>
      <c r="B119" s="65" t="n"/>
      <c r="C119" s="65" t="n"/>
      <c r="D119" s="65" t="n"/>
      <c r="E119" s="51" t="n"/>
      <c r="F119" s="58">
        <f>IF(C119="","",COUNTIF(H119:Q119,"Done"))</f>
        <v/>
      </c>
      <c r="G119" s="66">
        <f>IF(OR(C119="",COUNTA(Members)=0),"",F119/COUNTA(Members))</f>
        <v/>
      </c>
      <c r="H119" s="51" t="n"/>
      <c r="I119" s="51" t="n"/>
      <c r="J119" s="51" t="n"/>
      <c r="K119" s="51" t="n"/>
      <c r="L119" s="51" t="n"/>
      <c r="M119" s="51" t="n"/>
      <c r="N119" s="51" t="n"/>
      <c r="O119" s="51" t="n"/>
      <c r="P119" s="51" t="n"/>
      <c r="Q119" s="51" t="n"/>
    </row>
    <row r="120">
      <c r="A120" s="58">
        <f>IF(C120="","",ROW()-8)</f>
        <v/>
      </c>
      <c r="B120" s="65" t="n"/>
      <c r="C120" s="65" t="n"/>
      <c r="D120" s="65" t="n"/>
      <c r="E120" s="51" t="n"/>
      <c r="F120" s="58">
        <f>IF(C120="","",COUNTIF(H120:Q120,"Done"))</f>
        <v/>
      </c>
      <c r="G120" s="66">
        <f>IF(OR(C120="",COUNTA(Members)=0),"",F120/COUNTA(Members))</f>
        <v/>
      </c>
      <c r="H120" s="51" t="n"/>
      <c r="I120" s="51" t="n"/>
      <c r="J120" s="51" t="n"/>
      <c r="K120" s="51" t="n"/>
      <c r="L120" s="51" t="n"/>
      <c r="M120" s="51" t="n"/>
      <c r="N120" s="51" t="n"/>
      <c r="O120" s="51" t="n"/>
      <c r="P120" s="51" t="n"/>
      <c r="Q120" s="51" t="n"/>
    </row>
    <row r="121">
      <c r="A121" s="58">
        <f>IF(C121="","",ROW()-8)</f>
        <v/>
      </c>
      <c r="B121" s="65" t="n"/>
      <c r="C121" s="65" t="n"/>
      <c r="D121" s="65" t="n"/>
      <c r="E121" s="51" t="n"/>
      <c r="F121" s="58">
        <f>IF(C121="","",COUNTIF(H121:Q121,"Done"))</f>
        <v/>
      </c>
      <c r="G121" s="66">
        <f>IF(OR(C121="",COUNTA(Members)=0),"",F121/COUNTA(Members))</f>
        <v/>
      </c>
      <c r="H121" s="51" t="n"/>
      <c r="I121" s="51" t="n"/>
      <c r="J121" s="51" t="n"/>
      <c r="K121" s="51" t="n"/>
      <c r="L121" s="51" t="n"/>
      <c r="M121" s="51" t="n"/>
      <c r="N121" s="51" t="n"/>
      <c r="O121" s="51" t="n"/>
      <c r="P121" s="51" t="n"/>
      <c r="Q121" s="51" t="n"/>
    </row>
    <row r="122">
      <c r="A122" s="58">
        <f>IF(C122="","",ROW()-8)</f>
        <v/>
      </c>
      <c r="B122" s="65" t="n"/>
      <c r="C122" s="65" t="n"/>
      <c r="D122" s="65" t="n"/>
      <c r="E122" s="51" t="n"/>
      <c r="F122" s="58">
        <f>IF(C122="","",COUNTIF(H122:Q122,"Done"))</f>
        <v/>
      </c>
      <c r="G122" s="66">
        <f>IF(OR(C122="",COUNTA(Members)=0),"",F122/COUNTA(Members))</f>
        <v/>
      </c>
      <c r="H122" s="51" t="n"/>
      <c r="I122" s="51" t="n"/>
      <c r="J122" s="51" t="n"/>
      <c r="K122" s="51" t="n"/>
      <c r="L122" s="51" t="n"/>
      <c r="M122" s="51" t="n"/>
      <c r="N122" s="51" t="n"/>
      <c r="O122" s="51" t="n"/>
      <c r="P122" s="51" t="n"/>
      <c r="Q122" s="51" t="n"/>
    </row>
    <row r="123">
      <c r="A123" s="58">
        <f>IF(C123="","",ROW()-8)</f>
        <v/>
      </c>
      <c r="B123" s="65" t="n"/>
      <c r="C123" s="65" t="n"/>
      <c r="D123" s="65" t="n"/>
      <c r="E123" s="51" t="n"/>
      <c r="F123" s="58">
        <f>IF(C123="","",COUNTIF(H123:Q123,"Done"))</f>
        <v/>
      </c>
      <c r="G123" s="66">
        <f>IF(OR(C123="",COUNTA(Members)=0),"",F123/COUNTA(Members))</f>
        <v/>
      </c>
      <c r="H123" s="51" t="n"/>
      <c r="I123" s="51" t="n"/>
      <c r="J123" s="51" t="n"/>
      <c r="K123" s="51" t="n"/>
      <c r="L123" s="51" t="n"/>
      <c r="M123" s="51" t="n"/>
      <c r="N123" s="51" t="n"/>
      <c r="O123" s="51" t="n"/>
      <c r="P123" s="51" t="n"/>
      <c r="Q123" s="51" t="n"/>
    </row>
    <row r="124">
      <c r="A124" s="58">
        <f>IF(C124="","",ROW()-8)</f>
        <v/>
      </c>
      <c r="B124" s="65" t="n"/>
      <c r="C124" s="65" t="n"/>
      <c r="D124" s="65" t="n"/>
      <c r="E124" s="51" t="n"/>
      <c r="F124" s="58">
        <f>IF(C124="","",COUNTIF(H124:Q124,"Done"))</f>
        <v/>
      </c>
      <c r="G124" s="66">
        <f>IF(OR(C124="",COUNTA(Members)=0),"",F124/COUNTA(Members))</f>
        <v/>
      </c>
      <c r="H124" s="51" t="n"/>
      <c r="I124" s="51" t="n"/>
      <c r="J124" s="51" t="n"/>
      <c r="K124" s="51" t="n"/>
      <c r="L124" s="51" t="n"/>
      <c r="M124" s="51" t="n"/>
      <c r="N124" s="51" t="n"/>
      <c r="O124" s="51" t="n"/>
      <c r="P124" s="51" t="n"/>
      <c r="Q124" s="51" t="n"/>
    </row>
    <row r="125">
      <c r="A125" s="58">
        <f>IF(C125="","",ROW()-8)</f>
        <v/>
      </c>
      <c r="B125" s="65" t="n"/>
      <c r="C125" s="65" t="n"/>
      <c r="D125" s="65" t="n"/>
      <c r="E125" s="51" t="n"/>
      <c r="F125" s="58">
        <f>IF(C125="","",COUNTIF(H125:Q125,"Done"))</f>
        <v/>
      </c>
      <c r="G125" s="66">
        <f>IF(OR(C125="",COUNTA(Members)=0),"",F125/COUNTA(Members))</f>
        <v/>
      </c>
      <c r="H125" s="51" t="n"/>
      <c r="I125" s="51" t="n"/>
      <c r="J125" s="51" t="n"/>
      <c r="K125" s="51" t="n"/>
      <c r="L125" s="51" t="n"/>
      <c r="M125" s="51" t="n"/>
      <c r="N125" s="51" t="n"/>
      <c r="O125" s="51" t="n"/>
      <c r="P125" s="51" t="n"/>
      <c r="Q125" s="51" t="n"/>
    </row>
    <row r="126">
      <c r="A126" s="58">
        <f>IF(C126="","",ROW()-8)</f>
        <v/>
      </c>
      <c r="B126" s="65" t="n"/>
      <c r="C126" s="65" t="n"/>
      <c r="D126" s="65" t="n"/>
      <c r="E126" s="51" t="n"/>
      <c r="F126" s="58">
        <f>IF(C126="","",COUNTIF(H126:Q126,"Done"))</f>
        <v/>
      </c>
      <c r="G126" s="66">
        <f>IF(OR(C126="",COUNTA(Members)=0),"",F126/COUNTA(Members))</f>
        <v/>
      </c>
      <c r="H126" s="51" t="n"/>
      <c r="I126" s="51" t="n"/>
      <c r="J126" s="51" t="n"/>
      <c r="K126" s="51" t="n"/>
      <c r="L126" s="51" t="n"/>
      <c r="M126" s="51" t="n"/>
      <c r="N126" s="51" t="n"/>
      <c r="O126" s="51" t="n"/>
      <c r="P126" s="51" t="n"/>
      <c r="Q126" s="51" t="n"/>
    </row>
    <row r="127">
      <c r="A127" s="58">
        <f>IF(C127="","",ROW()-8)</f>
        <v/>
      </c>
      <c r="B127" s="65" t="n"/>
      <c r="C127" s="65" t="n"/>
      <c r="D127" s="65" t="n"/>
      <c r="E127" s="51" t="n"/>
      <c r="F127" s="58">
        <f>IF(C127="","",COUNTIF(H127:Q127,"Done"))</f>
        <v/>
      </c>
      <c r="G127" s="66">
        <f>IF(OR(C127="",COUNTA(Members)=0),"",F127/COUNTA(Members))</f>
        <v/>
      </c>
      <c r="H127" s="51" t="n"/>
      <c r="I127" s="51" t="n"/>
      <c r="J127" s="51" t="n"/>
      <c r="K127" s="51" t="n"/>
      <c r="L127" s="51" t="n"/>
      <c r="M127" s="51" t="n"/>
      <c r="N127" s="51" t="n"/>
      <c r="O127" s="51" t="n"/>
      <c r="P127" s="51" t="n"/>
      <c r="Q127" s="51" t="n"/>
    </row>
    <row r="128">
      <c r="A128" s="58">
        <f>IF(C128="","",ROW()-8)</f>
        <v/>
      </c>
      <c r="B128" s="65" t="n"/>
      <c r="C128" s="65" t="n"/>
      <c r="D128" s="65" t="n"/>
      <c r="E128" s="51" t="n"/>
      <c r="F128" s="58">
        <f>IF(C128="","",COUNTIF(H128:Q128,"Done"))</f>
        <v/>
      </c>
      <c r="G128" s="66">
        <f>IF(OR(C128="",COUNTA(Members)=0),"",F128/COUNTA(Members))</f>
        <v/>
      </c>
      <c r="H128" s="51" t="n"/>
      <c r="I128" s="51" t="n"/>
      <c r="J128" s="51" t="n"/>
      <c r="K128" s="51" t="n"/>
      <c r="L128" s="51" t="n"/>
      <c r="M128" s="51" t="n"/>
      <c r="N128" s="51" t="n"/>
      <c r="O128" s="51" t="n"/>
      <c r="P128" s="51" t="n"/>
      <c r="Q128" s="51" t="n"/>
    </row>
    <row r="129">
      <c r="A129" s="58">
        <f>IF(C129="","",ROW()-8)</f>
        <v/>
      </c>
      <c r="B129" s="65" t="n"/>
      <c r="C129" s="65" t="n"/>
      <c r="D129" s="65" t="n"/>
      <c r="E129" s="51" t="n"/>
      <c r="F129" s="58">
        <f>IF(C129="","",COUNTIF(H129:Q129,"Done"))</f>
        <v/>
      </c>
      <c r="G129" s="66">
        <f>IF(OR(C129="",COUNTA(Members)=0),"",F129/COUNTA(Members))</f>
        <v/>
      </c>
      <c r="H129" s="51" t="n"/>
      <c r="I129" s="51" t="n"/>
      <c r="J129" s="51" t="n"/>
      <c r="K129" s="51" t="n"/>
      <c r="L129" s="51" t="n"/>
      <c r="M129" s="51" t="n"/>
      <c r="N129" s="51" t="n"/>
      <c r="O129" s="51" t="n"/>
      <c r="P129" s="51" t="n"/>
      <c r="Q129" s="51" t="n"/>
    </row>
    <row r="130">
      <c r="A130" s="58">
        <f>IF(C130="","",ROW()-8)</f>
        <v/>
      </c>
      <c r="B130" s="65" t="n"/>
      <c r="C130" s="65" t="n"/>
      <c r="D130" s="65" t="n"/>
      <c r="E130" s="51" t="n"/>
      <c r="F130" s="58">
        <f>IF(C130="","",COUNTIF(H130:Q130,"Done"))</f>
        <v/>
      </c>
      <c r="G130" s="66">
        <f>IF(OR(C130="",COUNTA(Members)=0),"",F130/COUNTA(Members))</f>
        <v/>
      </c>
      <c r="H130" s="51" t="n"/>
      <c r="I130" s="51" t="n"/>
      <c r="J130" s="51" t="n"/>
      <c r="K130" s="51" t="n"/>
      <c r="L130" s="51" t="n"/>
      <c r="M130" s="51" t="n"/>
      <c r="N130" s="51" t="n"/>
      <c r="O130" s="51" t="n"/>
      <c r="P130" s="51" t="n"/>
      <c r="Q130" s="51" t="n"/>
    </row>
    <row r="131">
      <c r="A131" s="58">
        <f>IF(C131="","",ROW()-8)</f>
        <v/>
      </c>
      <c r="B131" s="65" t="n"/>
      <c r="C131" s="65" t="n"/>
      <c r="D131" s="65" t="n"/>
      <c r="E131" s="51" t="n"/>
      <c r="F131" s="58">
        <f>IF(C131="","",COUNTIF(H131:Q131,"Done"))</f>
        <v/>
      </c>
      <c r="G131" s="66">
        <f>IF(OR(C131="",COUNTA(Members)=0),"",F131/COUNTA(Members))</f>
        <v/>
      </c>
      <c r="H131" s="51" t="n"/>
      <c r="I131" s="51" t="n"/>
      <c r="J131" s="51" t="n"/>
      <c r="K131" s="51" t="n"/>
      <c r="L131" s="51" t="n"/>
      <c r="M131" s="51" t="n"/>
      <c r="N131" s="51" t="n"/>
      <c r="O131" s="51" t="n"/>
      <c r="P131" s="51" t="n"/>
      <c r="Q131" s="51" t="n"/>
    </row>
    <row r="132">
      <c r="A132" s="58">
        <f>IF(C132="","",ROW()-8)</f>
        <v/>
      </c>
      <c r="B132" s="65" t="n"/>
      <c r="C132" s="65" t="n"/>
      <c r="D132" s="65" t="n"/>
      <c r="E132" s="51" t="n"/>
      <c r="F132" s="58">
        <f>IF(C132="","",COUNTIF(H132:Q132,"Done"))</f>
        <v/>
      </c>
      <c r="G132" s="66">
        <f>IF(OR(C132="",COUNTA(Members)=0),"",F132/COUNTA(Members))</f>
        <v/>
      </c>
      <c r="H132" s="51" t="n"/>
      <c r="I132" s="51" t="n"/>
      <c r="J132" s="51" t="n"/>
      <c r="K132" s="51" t="n"/>
      <c r="L132" s="51" t="n"/>
      <c r="M132" s="51" t="n"/>
      <c r="N132" s="51" t="n"/>
      <c r="O132" s="51" t="n"/>
      <c r="P132" s="51" t="n"/>
      <c r="Q132" s="51" t="n"/>
    </row>
    <row r="133">
      <c r="A133" s="58">
        <f>IF(C133="","",ROW()-8)</f>
        <v/>
      </c>
      <c r="B133" s="65" t="n"/>
      <c r="C133" s="65" t="n"/>
      <c r="D133" s="65" t="n"/>
      <c r="E133" s="51" t="n"/>
      <c r="F133" s="58">
        <f>IF(C133="","",COUNTIF(H133:Q133,"Done"))</f>
        <v/>
      </c>
      <c r="G133" s="66">
        <f>IF(OR(C133="",COUNTA(Members)=0),"",F133/COUNTA(Members))</f>
        <v/>
      </c>
      <c r="H133" s="51" t="n"/>
      <c r="I133" s="51" t="n"/>
      <c r="J133" s="51" t="n"/>
      <c r="K133" s="51" t="n"/>
      <c r="L133" s="51" t="n"/>
      <c r="M133" s="51" t="n"/>
      <c r="N133" s="51" t="n"/>
      <c r="O133" s="51" t="n"/>
      <c r="P133" s="51" t="n"/>
      <c r="Q133" s="51" t="n"/>
    </row>
    <row r="134">
      <c r="A134" s="58">
        <f>IF(C134="","",ROW()-8)</f>
        <v/>
      </c>
      <c r="B134" s="65" t="n"/>
      <c r="C134" s="65" t="n"/>
      <c r="D134" s="65" t="n"/>
      <c r="E134" s="51" t="n"/>
      <c r="F134" s="58">
        <f>IF(C134="","",COUNTIF(H134:Q134,"Done"))</f>
        <v/>
      </c>
      <c r="G134" s="66">
        <f>IF(OR(C134="",COUNTA(Members)=0),"",F134/COUNTA(Members))</f>
        <v/>
      </c>
      <c r="H134" s="51" t="n"/>
      <c r="I134" s="51" t="n"/>
      <c r="J134" s="51" t="n"/>
      <c r="K134" s="51" t="n"/>
      <c r="L134" s="51" t="n"/>
      <c r="M134" s="51" t="n"/>
      <c r="N134" s="51" t="n"/>
      <c r="O134" s="51" t="n"/>
      <c r="P134" s="51" t="n"/>
      <c r="Q134" s="51" t="n"/>
    </row>
    <row r="135">
      <c r="A135" s="58">
        <f>IF(C135="","",ROW()-8)</f>
        <v/>
      </c>
      <c r="B135" s="65" t="n"/>
      <c r="C135" s="65" t="n"/>
      <c r="D135" s="65" t="n"/>
      <c r="E135" s="51" t="n"/>
      <c r="F135" s="58">
        <f>IF(C135="","",COUNTIF(H135:Q135,"Done"))</f>
        <v/>
      </c>
      <c r="G135" s="66">
        <f>IF(OR(C135="",COUNTA(Members)=0),"",F135/COUNTA(Members))</f>
        <v/>
      </c>
      <c r="H135" s="51" t="n"/>
      <c r="I135" s="51" t="n"/>
      <c r="J135" s="51" t="n"/>
      <c r="K135" s="51" t="n"/>
      <c r="L135" s="51" t="n"/>
      <c r="M135" s="51" t="n"/>
      <c r="N135" s="51" t="n"/>
      <c r="O135" s="51" t="n"/>
      <c r="P135" s="51" t="n"/>
      <c r="Q135" s="51" t="n"/>
    </row>
    <row r="136">
      <c r="A136" s="58">
        <f>IF(C136="","",ROW()-8)</f>
        <v/>
      </c>
      <c r="B136" s="65" t="n"/>
      <c r="C136" s="65" t="n"/>
      <c r="D136" s="65" t="n"/>
      <c r="E136" s="51" t="n"/>
      <c r="F136" s="58">
        <f>IF(C136="","",COUNTIF(H136:Q136,"Done"))</f>
        <v/>
      </c>
      <c r="G136" s="66">
        <f>IF(OR(C136="",COUNTA(Members)=0),"",F136/COUNTA(Members))</f>
        <v/>
      </c>
      <c r="H136" s="51" t="n"/>
      <c r="I136" s="51" t="n"/>
      <c r="J136" s="51" t="n"/>
      <c r="K136" s="51" t="n"/>
      <c r="L136" s="51" t="n"/>
      <c r="M136" s="51" t="n"/>
      <c r="N136" s="51" t="n"/>
      <c r="O136" s="51" t="n"/>
      <c r="P136" s="51" t="n"/>
      <c r="Q136" s="51" t="n"/>
    </row>
    <row r="137">
      <c r="A137" s="58">
        <f>IF(C137="","",ROW()-8)</f>
        <v/>
      </c>
      <c r="B137" s="65" t="n"/>
      <c r="C137" s="65" t="n"/>
      <c r="D137" s="65" t="n"/>
      <c r="E137" s="51" t="n"/>
      <c r="F137" s="58">
        <f>IF(C137="","",COUNTIF(H137:Q137,"Done"))</f>
        <v/>
      </c>
      <c r="G137" s="66">
        <f>IF(OR(C137="",COUNTA(Members)=0),"",F137/COUNTA(Members))</f>
        <v/>
      </c>
      <c r="H137" s="51" t="n"/>
      <c r="I137" s="51" t="n"/>
      <c r="J137" s="51" t="n"/>
      <c r="K137" s="51" t="n"/>
      <c r="L137" s="51" t="n"/>
      <c r="M137" s="51" t="n"/>
      <c r="N137" s="51" t="n"/>
      <c r="O137" s="51" t="n"/>
      <c r="P137" s="51" t="n"/>
      <c r="Q137" s="51" t="n"/>
    </row>
    <row r="138">
      <c r="A138" s="58">
        <f>IF(C138="","",ROW()-8)</f>
        <v/>
      </c>
      <c r="B138" s="65" t="n"/>
      <c r="C138" s="65" t="n"/>
      <c r="D138" s="65" t="n"/>
      <c r="E138" s="51" t="n"/>
      <c r="F138" s="58">
        <f>IF(C138="","",COUNTIF(H138:Q138,"Done"))</f>
        <v/>
      </c>
      <c r="G138" s="66">
        <f>IF(OR(C138="",COUNTA(Members)=0),"",F138/COUNTA(Members))</f>
        <v/>
      </c>
      <c r="H138" s="51" t="n"/>
      <c r="I138" s="51" t="n"/>
      <c r="J138" s="51" t="n"/>
      <c r="K138" s="51" t="n"/>
      <c r="L138" s="51" t="n"/>
      <c r="M138" s="51" t="n"/>
      <c r="N138" s="51" t="n"/>
      <c r="O138" s="51" t="n"/>
      <c r="P138" s="51" t="n"/>
      <c r="Q138" s="51" t="n"/>
    </row>
    <row r="139">
      <c r="A139" s="58">
        <f>IF(C139="","",ROW()-8)</f>
        <v/>
      </c>
      <c r="B139" s="65" t="n"/>
      <c r="C139" s="65" t="n"/>
      <c r="D139" s="65" t="n"/>
      <c r="E139" s="51" t="n"/>
      <c r="F139" s="58">
        <f>IF(C139="","",COUNTIF(H139:Q139,"Done"))</f>
        <v/>
      </c>
      <c r="G139" s="66">
        <f>IF(OR(C139="",COUNTA(Members)=0),"",F139/COUNTA(Members))</f>
        <v/>
      </c>
      <c r="H139" s="51" t="n"/>
      <c r="I139" s="51" t="n"/>
      <c r="J139" s="51" t="n"/>
      <c r="K139" s="51" t="n"/>
      <c r="L139" s="51" t="n"/>
      <c r="M139" s="51" t="n"/>
      <c r="N139" s="51" t="n"/>
      <c r="O139" s="51" t="n"/>
      <c r="P139" s="51" t="n"/>
      <c r="Q139" s="51" t="n"/>
    </row>
    <row r="140">
      <c r="A140" s="58">
        <f>IF(C140="","",ROW()-8)</f>
        <v/>
      </c>
      <c r="B140" s="65" t="n"/>
      <c r="C140" s="65" t="n"/>
      <c r="D140" s="65" t="n"/>
      <c r="E140" s="51" t="n"/>
      <c r="F140" s="58">
        <f>IF(C140="","",COUNTIF(H140:Q140,"Done"))</f>
        <v/>
      </c>
      <c r="G140" s="66">
        <f>IF(OR(C140="",COUNTA(Members)=0),"",F140/COUNTA(Members))</f>
        <v/>
      </c>
      <c r="H140" s="51" t="n"/>
      <c r="I140" s="51" t="n"/>
      <c r="J140" s="51" t="n"/>
      <c r="K140" s="51" t="n"/>
      <c r="L140" s="51" t="n"/>
      <c r="M140" s="51" t="n"/>
      <c r="N140" s="51" t="n"/>
      <c r="O140" s="51" t="n"/>
      <c r="P140" s="51" t="n"/>
      <c r="Q140" s="51" t="n"/>
    </row>
    <row r="141">
      <c r="A141" s="58">
        <f>IF(C141="","",ROW()-8)</f>
        <v/>
      </c>
      <c r="B141" s="65" t="n"/>
      <c r="C141" s="65" t="n"/>
      <c r="D141" s="65" t="n"/>
      <c r="E141" s="51" t="n"/>
      <c r="F141" s="58">
        <f>IF(C141="","",COUNTIF(H141:Q141,"Done"))</f>
        <v/>
      </c>
      <c r="G141" s="66">
        <f>IF(OR(C141="",COUNTA(Members)=0),"",F141/COUNTA(Members))</f>
        <v/>
      </c>
      <c r="H141" s="51" t="n"/>
      <c r="I141" s="51" t="n"/>
      <c r="J141" s="51" t="n"/>
      <c r="K141" s="51" t="n"/>
      <c r="L141" s="51" t="n"/>
      <c r="M141" s="51" t="n"/>
      <c r="N141" s="51" t="n"/>
      <c r="O141" s="51" t="n"/>
      <c r="P141" s="51" t="n"/>
      <c r="Q141" s="51" t="n"/>
    </row>
    <row r="142">
      <c r="A142" s="58">
        <f>IF(C142="","",ROW()-8)</f>
        <v/>
      </c>
      <c r="B142" s="65" t="n"/>
      <c r="C142" s="65" t="n"/>
      <c r="D142" s="65" t="n"/>
      <c r="E142" s="51" t="n"/>
      <c r="F142" s="58">
        <f>IF(C142="","",COUNTIF(H142:Q142,"Done"))</f>
        <v/>
      </c>
      <c r="G142" s="66">
        <f>IF(OR(C142="",COUNTA(Members)=0),"",F142/COUNTA(Members))</f>
        <v/>
      </c>
      <c r="H142" s="51" t="n"/>
      <c r="I142" s="51" t="n"/>
      <c r="J142" s="51" t="n"/>
      <c r="K142" s="51" t="n"/>
      <c r="L142" s="51" t="n"/>
      <c r="M142" s="51" t="n"/>
      <c r="N142" s="51" t="n"/>
      <c r="O142" s="51" t="n"/>
      <c r="P142" s="51" t="n"/>
      <c r="Q142" s="51" t="n"/>
    </row>
    <row r="143">
      <c r="A143" s="58">
        <f>IF(C143="","",ROW()-8)</f>
        <v/>
      </c>
      <c r="B143" s="65" t="n"/>
      <c r="C143" s="65" t="n"/>
      <c r="D143" s="65" t="n"/>
      <c r="E143" s="51" t="n"/>
      <c r="F143" s="58">
        <f>IF(C143="","",COUNTIF(H143:Q143,"Done"))</f>
        <v/>
      </c>
      <c r="G143" s="66">
        <f>IF(OR(C143="",COUNTA(Members)=0),"",F143/COUNTA(Members))</f>
        <v/>
      </c>
      <c r="H143" s="51" t="n"/>
      <c r="I143" s="51" t="n"/>
      <c r="J143" s="51" t="n"/>
      <c r="K143" s="51" t="n"/>
      <c r="L143" s="51" t="n"/>
      <c r="M143" s="51" t="n"/>
      <c r="N143" s="51" t="n"/>
      <c r="O143" s="51" t="n"/>
      <c r="P143" s="51" t="n"/>
      <c r="Q143" s="51" t="n"/>
    </row>
    <row r="144">
      <c r="A144" s="58">
        <f>IF(C144="","",ROW()-8)</f>
        <v/>
      </c>
      <c r="B144" s="65" t="n"/>
      <c r="C144" s="65" t="n"/>
      <c r="D144" s="65" t="n"/>
      <c r="E144" s="51" t="n"/>
      <c r="F144" s="58">
        <f>IF(C144="","",COUNTIF(H144:Q144,"Done"))</f>
        <v/>
      </c>
      <c r="G144" s="66">
        <f>IF(OR(C144="",COUNTA(Members)=0),"",F144/COUNTA(Members))</f>
        <v/>
      </c>
      <c r="H144" s="51" t="n"/>
      <c r="I144" s="51" t="n"/>
      <c r="J144" s="51" t="n"/>
      <c r="K144" s="51" t="n"/>
      <c r="L144" s="51" t="n"/>
      <c r="M144" s="51" t="n"/>
      <c r="N144" s="51" t="n"/>
      <c r="O144" s="51" t="n"/>
      <c r="P144" s="51" t="n"/>
      <c r="Q144" s="51" t="n"/>
    </row>
    <row r="145">
      <c r="A145" s="58">
        <f>IF(C145="","",ROW()-8)</f>
        <v/>
      </c>
      <c r="B145" s="65" t="n"/>
      <c r="C145" s="65" t="n"/>
      <c r="D145" s="65" t="n"/>
      <c r="E145" s="51" t="n"/>
      <c r="F145" s="58">
        <f>IF(C145="","",COUNTIF(H145:Q145,"Done"))</f>
        <v/>
      </c>
      <c r="G145" s="66">
        <f>IF(OR(C145="",COUNTA(Members)=0),"",F145/COUNTA(Members))</f>
        <v/>
      </c>
      <c r="H145" s="51" t="n"/>
      <c r="I145" s="51" t="n"/>
      <c r="J145" s="51" t="n"/>
      <c r="K145" s="51" t="n"/>
      <c r="L145" s="51" t="n"/>
      <c r="M145" s="51" t="n"/>
      <c r="N145" s="51" t="n"/>
      <c r="O145" s="51" t="n"/>
      <c r="P145" s="51" t="n"/>
      <c r="Q145" s="51" t="n"/>
    </row>
    <row r="146">
      <c r="A146" s="58">
        <f>IF(C146="","",ROW()-8)</f>
        <v/>
      </c>
      <c r="B146" s="65" t="n"/>
      <c r="C146" s="65" t="n"/>
      <c r="D146" s="65" t="n"/>
      <c r="E146" s="51" t="n"/>
      <c r="F146" s="58">
        <f>IF(C146="","",COUNTIF(H146:Q146,"Done"))</f>
        <v/>
      </c>
      <c r="G146" s="66">
        <f>IF(OR(C146="",COUNTA(Members)=0),"",F146/COUNTA(Members))</f>
        <v/>
      </c>
      <c r="H146" s="51" t="n"/>
      <c r="I146" s="51" t="n"/>
      <c r="J146" s="51" t="n"/>
      <c r="K146" s="51" t="n"/>
      <c r="L146" s="51" t="n"/>
      <c r="M146" s="51" t="n"/>
      <c r="N146" s="51" t="n"/>
      <c r="O146" s="51" t="n"/>
      <c r="P146" s="51" t="n"/>
      <c r="Q146" s="51" t="n"/>
    </row>
    <row r="147">
      <c r="A147" s="58">
        <f>IF(C147="","",ROW()-8)</f>
        <v/>
      </c>
      <c r="B147" s="65" t="n"/>
      <c r="C147" s="65" t="n"/>
      <c r="D147" s="65" t="n"/>
      <c r="E147" s="51" t="n"/>
      <c r="F147" s="58">
        <f>IF(C147="","",COUNTIF(H147:Q147,"Done"))</f>
        <v/>
      </c>
      <c r="G147" s="66">
        <f>IF(OR(C147="",COUNTA(Members)=0),"",F147/COUNTA(Members))</f>
        <v/>
      </c>
      <c r="H147" s="51" t="n"/>
      <c r="I147" s="51" t="n"/>
      <c r="J147" s="51" t="n"/>
      <c r="K147" s="51" t="n"/>
      <c r="L147" s="51" t="n"/>
      <c r="M147" s="51" t="n"/>
      <c r="N147" s="51" t="n"/>
      <c r="O147" s="51" t="n"/>
      <c r="P147" s="51" t="n"/>
      <c r="Q147" s="51" t="n"/>
    </row>
    <row r="148">
      <c r="A148" s="58">
        <f>IF(C148="","",ROW()-8)</f>
        <v/>
      </c>
      <c r="B148" s="65" t="n"/>
      <c r="C148" s="65" t="n"/>
      <c r="D148" s="65" t="n"/>
      <c r="E148" s="51" t="n"/>
      <c r="F148" s="58">
        <f>IF(C148="","",COUNTIF(H148:Q148,"Done"))</f>
        <v/>
      </c>
      <c r="G148" s="66">
        <f>IF(OR(C148="",COUNTA(Members)=0),"",F148/COUNTA(Members))</f>
        <v/>
      </c>
      <c r="H148" s="51" t="n"/>
      <c r="I148" s="51" t="n"/>
      <c r="J148" s="51" t="n"/>
      <c r="K148" s="51" t="n"/>
      <c r="L148" s="51" t="n"/>
      <c r="M148" s="51" t="n"/>
      <c r="N148" s="51" t="n"/>
      <c r="O148" s="51" t="n"/>
      <c r="P148" s="51" t="n"/>
      <c r="Q148" s="51" t="n"/>
    </row>
    <row r="149">
      <c r="A149" s="58">
        <f>IF(C149="","",ROW()-8)</f>
        <v/>
      </c>
      <c r="B149" s="65" t="n"/>
      <c r="C149" s="65" t="n"/>
      <c r="D149" s="65" t="n"/>
      <c r="E149" s="51" t="n"/>
      <c r="F149" s="58">
        <f>IF(C149="","",COUNTIF(H149:Q149,"Done"))</f>
        <v/>
      </c>
      <c r="G149" s="66">
        <f>IF(OR(C149="",COUNTA(Members)=0),"",F149/COUNTA(Members))</f>
        <v/>
      </c>
      <c r="H149" s="51" t="n"/>
      <c r="I149" s="51" t="n"/>
      <c r="J149" s="51" t="n"/>
      <c r="K149" s="51" t="n"/>
      <c r="L149" s="51" t="n"/>
      <c r="M149" s="51" t="n"/>
      <c r="N149" s="51" t="n"/>
      <c r="O149" s="51" t="n"/>
      <c r="P149" s="51" t="n"/>
      <c r="Q149" s="51" t="n"/>
    </row>
    <row r="150">
      <c r="A150" s="58">
        <f>IF(C150="","",ROW()-8)</f>
        <v/>
      </c>
      <c r="B150" s="65" t="n"/>
      <c r="C150" s="65" t="n"/>
      <c r="D150" s="65" t="n"/>
      <c r="E150" s="51" t="n"/>
      <c r="F150" s="58">
        <f>IF(C150="","",COUNTIF(H150:Q150,"Done"))</f>
        <v/>
      </c>
      <c r="G150" s="66">
        <f>IF(OR(C150="",COUNTA(Members)=0),"",F150/COUNTA(Members))</f>
        <v/>
      </c>
      <c r="H150" s="51" t="n"/>
      <c r="I150" s="51" t="n"/>
      <c r="J150" s="51" t="n"/>
      <c r="K150" s="51" t="n"/>
      <c r="L150" s="51" t="n"/>
      <c r="M150" s="51" t="n"/>
      <c r="N150" s="51" t="n"/>
      <c r="O150" s="51" t="n"/>
      <c r="P150" s="51" t="n"/>
      <c r="Q150" s="51" t="n"/>
    </row>
    <row r="151">
      <c r="A151" s="58">
        <f>IF(C151="","",ROW()-8)</f>
        <v/>
      </c>
      <c r="B151" s="65" t="n"/>
      <c r="C151" s="65" t="n"/>
      <c r="D151" s="65" t="n"/>
      <c r="E151" s="51" t="n"/>
      <c r="F151" s="58">
        <f>IF(C151="","",COUNTIF(H151:Q151,"Done"))</f>
        <v/>
      </c>
      <c r="G151" s="66">
        <f>IF(OR(C151="",COUNTA(Members)=0),"",F151/COUNTA(Members))</f>
        <v/>
      </c>
      <c r="H151" s="51" t="n"/>
      <c r="I151" s="51" t="n"/>
      <c r="J151" s="51" t="n"/>
      <c r="K151" s="51" t="n"/>
      <c r="L151" s="51" t="n"/>
      <c r="M151" s="51" t="n"/>
      <c r="N151" s="51" t="n"/>
      <c r="O151" s="51" t="n"/>
      <c r="P151" s="51" t="n"/>
      <c r="Q151" s="51" t="n"/>
    </row>
    <row r="152">
      <c r="A152" s="58">
        <f>IF(C152="","",ROW()-8)</f>
        <v/>
      </c>
      <c r="B152" s="65" t="n"/>
      <c r="C152" s="65" t="n"/>
      <c r="D152" s="65" t="n"/>
      <c r="E152" s="51" t="n"/>
      <c r="F152" s="58">
        <f>IF(C152="","",COUNTIF(H152:Q152,"Done"))</f>
        <v/>
      </c>
      <c r="G152" s="66">
        <f>IF(OR(C152="",COUNTA(Members)=0),"",F152/COUNTA(Members))</f>
        <v/>
      </c>
      <c r="H152" s="51" t="n"/>
      <c r="I152" s="51" t="n"/>
      <c r="J152" s="51" t="n"/>
      <c r="K152" s="51" t="n"/>
      <c r="L152" s="51" t="n"/>
      <c r="M152" s="51" t="n"/>
      <c r="N152" s="51" t="n"/>
      <c r="O152" s="51" t="n"/>
      <c r="P152" s="51" t="n"/>
      <c r="Q152" s="51" t="n"/>
    </row>
    <row r="153">
      <c r="A153" s="58">
        <f>IF(C153="","",ROW()-8)</f>
        <v/>
      </c>
      <c r="B153" s="65" t="n"/>
      <c r="C153" s="65" t="n"/>
      <c r="D153" s="65" t="n"/>
      <c r="E153" s="51" t="n"/>
      <c r="F153" s="58">
        <f>IF(C153="","",COUNTIF(H153:Q153,"Done"))</f>
        <v/>
      </c>
      <c r="G153" s="66">
        <f>IF(OR(C153="",COUNTA(Members)=0),"",F153/COUNTA(Members))</f>
        <v/>
      </c>
      <c r="H153" s="51" t="n"/>
      <c r="I153" s="51" t="n"/>
      <c r="J153" s="51" t="n"/>
      <c r="K153" s="51" t="n"/>
      <c r="L153" s="51" t="n"/>
      <c r="M153" s="51" t="n"/>
      <c r="N153" s="51" t="n"/>
      <c r="O153" s="51" t="n"/>
      <c r="P153" s="51" t="n"/>
      <c r="Q153" s="51" t="n"/>
    </row>
    <row r="154">
      <c r="A154" s="58">
        <f>IF(C154="","",ROW()-8)</f>
        <v/>
      </c>
      <c r="B154" s="65" t="n"/>
      <c r="C154" s="65" t="n"/>
      <c r="D154" s="65" t="n"/>
      <c r="E154" s="51" t="n"/>
      <c r="F154" s="58">
        <f>IF(C154="","",COUNTIF(H154:Q154,"Done"))</f>
        <v/>
      </c>
      <c r="G154" s="66">
        <f>IF(OR(C154="",COUNTA(Members)=0),"",F154/COUNTA(Members))</f>
        <v/>
      </c>
      <c r="H154" s="51" t="n"/>
      <c r="I154" s="51" t="n"/>
      <c r="J154" s="51" t="n"/>
      <c r="K154" s="51" t="n"/>
      <c r="L154" s="51" t="n"/>
      <c r="M154" s="51" t="n"/>
      <c r="N154" s="51" t="n"/>
      <c r="O154" s="51" t="n"/>
      <c r="P154" s="51" t="n"/>
      <c r="Q154" s="51" t="n"/>
    </row>
    <row r="155">
      <c r="A155" s="58">
        <f>IF(C155="","",ROW()-8)</f>
        <v/>
      </c>
      <c r="B155" s="65" t="n"/>
      <c r="C155" s="65" t="n"/>
      <c r="D155" s="65" t="n"/>
      <c r="E155" s="51" t="n"/>
      <c r="F155" s="58">
        <f>IF(C155="","",COUNTIF(H155:Q155,"Done"))</f>
        <v/>
      </c>
      <c r="G155" s="66">
        <f>IF(OR(C155="",COUNTA(Members)=0),"",F155/COUNTA(Members))</f>
        <v/>
      </c>
      <c r="H155" s="51" t="n"/>
      <c r="I155" s="51" t="n"/>
      <c r="J155" s="51" t="n"/>
      <c r="K155" s="51" t="n"/>
      <c r="L155" s="51" t="n"/>
      <c r="M155" s="51" t="n"/>
      <c r="N155" s="51" t="n"/>
      <c r="O155" s="51" t="n"/>
      <c r="P155" s="51" t="n"/>
      <c r="Q155" s="51" t="n"/>
    </row>
    <row r="156">
      <c r="A156" s="58">
        <f>IF(C156="","",ROW()-8)</f>
        <v/>
      </c>
      <c r="B156" s="65" t="n"/>
      <c r="C156" s="65" t="n"/>
      <c r="D156" s="65" t="n"/>
      <c r="E156" s="51" t="n"/>
      <c r="F156" s="58">
        <f>IF(C156="","",COUNTIF(H156:Q156,"Done"))</f>
        <v/>
      </c>
      <c r="G156" s="66">
        <f>IF(OR(C156="",COUNTA(Members)=0),"",F156/COUNTA(Members))</f>
        <v/>
      </c>
      <c r="H156" s="51" t="n"/>
      <c r="I156" s="51" t="n"/>
      <c r="J156" s="51" t="n"/>
      <c r="K156" s="51" t="n"/>
      <c r="L156" s="51" t="n"/>
      <c r="M156" s="51" t="n"/>
      <c r="N156" s="51" t="n"/>
      <c r="O156" s="51" t="n"/>
      <c r="P156" s="51" t="n"/>
      <c r="Q156" s="51" t="n"/>
    </row>
    <row r="157">
      <c r="A157" s="58">
        <f>IF(C157="","",ROW()-8)</f>
        <v/>
      </c>
      <c r="B157" s="65" t="n"/>
      <c r="C157" s="65" t="n"/>
      <c r="D157" s="65" t="n"/>
      <c r="E157" s="51" t="n"/>
      <c r="F157" s="58">
        <f>IF(C157="","",COUNTIF(H157:Q157,"Done"))</f>
        <v/>
      </c>
      <c r="G157" s="66">
        <f>IF(OR(C157="",COUNTA(Members)=0),"",F157/COUNTA(Members))</f>
        <v/>
      </c>
      <c r="H157" s="51" t="n"/>
      <c r="I157" s="51" t="n"/>
      <c r="J157" s="51" t="n"/>
      <c r="K157" s="51" t="n"/>
      <c r="L157" s="51" t="n"/>
      <c r="M157" s="51" t="n"/>
      <c r="N157" s="51" t="n"/>
      <c r="O157" s="51" t="n"/>
      <c r="P157" s="51" t="n"/>
      <c r="Q157" s="51" t="n"/>
    </row>
    <row r="158">
      <c r="A158" s="58">
        <f>IF(C158="","",ROW()-8)</f>
        <v/>
      </c>
      <c r="B158" s="65" t="n"/>
      <c r="C158" s="65" t="n"/>
      <c r="D158" s="65" t="n"/>
      <c r="E158" s="51" t="n"/>
      <c r="F158" s="58">
        <f>IF(C158="","",COUNTIF(H158:Q158,"Done"))</f>
        <v/>
      </c>
      <c r="G158" s="66">
        <f>IF(OR(C158="",COUNTA(Members)=0),"",F158/COUNTA(Members))</f>
        <v/>
      </c>
      <c r="H158" s="51" t="n"/>
      <c r="I158" s="51" t="n"/>
      <c r="J158" s="51" t="n"/>
      <c r="K158" s="51" t="n"/>
      <c r="L158" s="51" t="n"/>
      <c r="M158" s="51" t="n"/>
      <c r="N158" s="51" t="n"/>
      <c r="O158" s="51" t="n"/>
      <c r="P158" s="51" t="n"/>
      <c r="Q158" s="51" t="n"/>
    </row>
  </sheetData>
  <conditionalFormatting sqref="H7:Q7">
    <cfRule type="dataBar" priority="1">
      <dataBar>
        <cfvo type="num" val="0"/>
        <cfvo type="num" val="1"/>
        <color rgb="002E90FA"/>
      </dataBar>
    </cfRule>
  </conditionalFormatting>
  <conditionalFormatting sqref="H9:Q158">
    <cfRule type="cellIs" priority="2" operator="equal" dxfId="10">
      <formula>"Done"</formula>
    </cfRule>
    <cfRule type="cellIs" priority="3" operator="equal" dxfId="7">
      <formula>"In progress"</formula>
    </cfRule>
  </conditionalFormatting>
  <conditionalFormatting sqref="G9:G158">
    <cfRule type="dataBar" priority="4">
      <dataBar>
        <cfvo type="num" val="0"/>
        <cfvo type="num" val="1"/>
        <color rgb="0012B76A"/>
      </dataBar>
    </cfRule>
  </conditionalFormatting>
  <dataValidations count="1">
    <dataValidation sqref="H9:Q158" showDropDown="0" showInputMessage="0" showErrorMessage="1" allowBlank="1" errorTitle="Not in the list" error="Pick a value from the drop-down (lists are on the Settings sheet)." type="list">
      <formula1>=LearnStatus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D9" r:id="rId2"/>
  </hyperlink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D92D20"/>
    <outlinePr summaryBelow="1" summaryRight="1"/>
    <pageSetUpPr fitToPage="1"/>
  </sheetPr>
  <dimension ref="A1:K10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0" customWidth="1" min="2" max="2"/>
    <col width="9" customWidth="1" min="3" max="3"/>
    <col width="11" customWidth="1" min="4" max="4"/>
    <col width="10" customWidth="1" min="5" max="5"/>
    <col width="8" customWidth="1" min="6" max="6"/>
    <col width="10" customWidth="1" min="7" max="7"/>
    <col width="16" customWidth="1" min="8" max="8"/>
    <col width="42" customWidth="1" min="9" max="9"/>
    <col width="12" customWidth="1" min="10" max="10"/>
    <col width="16" customWidth="1" min="11" max="11"/>
  </cols>
  <sheetData>
    <row r="1" ht="30" customHeight="1">
      <c r="A1" s="47" t="inlineStr">
        <is>
          <t>Risks &amp; Issues</t>
        </is>
      </c>
    </row>
    <row r="2">
      <c r="A2" s="3" t="inlineStr">
        <is>
          <t>Anything that could go wrong (risk) or already has (issue). Score = likelihood × impact (1–5 each).</t>
        </is>
      </c>
    </row>
    <row r="3">
      <c r="A3" s="48" t="inlineStr">
        <is>
          <t>← Back to Start Here</t>
        </is>
      </c>
    </row>
    <row r="5" ht="32" customHeight="1">
      <c r="A5" s="50" t="inlineStr">
        <is>
          <t>ID</t>
        </is>
      </c>
      <c r="B5" s="50" t="inlineStr">
        <is>
          <t>Risk or issue</t>
        </is>
      </c>
      <c r="C5" s="50" t="inlineStr">
        <is>
          <t>Type</t>
        </is>
      </c>
      <c r="D5" s="50" t="inlineStr">
        <is>
          <t>Likelihood (1-5)</t>
        </is>
      </c>
      <c r="E5" s="50" t="inlineStr">
        <is>
          <t>Impact (1-5)</t>
        </is>
      </c>
      <c r="F5" s="50" t="inlineStr">
        <is>
          <t>Score</t>
        </is>
      </c>
      <c r="G5" s="50" t="inlineStr">
        <is>
          <t>Level</t>
        </is>
      </c>
      <c r="H5" s="50" t="inlineStr">
        <is>
          <t>Owner</t>
        </is>
      </c>
      <c r="I5" s="50" t="inlineStr">
        <is>
          <t>Mitigation / next step</t>
        </is>
      </c>
      <c r="J5" s="50" t="inlineStr">
        <is>
          <t>Status</t>
        </is>
      </c>
      <c r="K5" s="50" t="inlineStr">
        <is>
          <t>Review by</t>
        </is>
      </c>
    </row>
    <row r="6">
      <c r="A6" s="58">
        <f>IF(B6="","","R-"&amp;TEXT(ROW()-5,"00"))</f>
        <v/>
      </c>
      <c r="B6" s="65" t="inlineStr">
        <is>
          <t>Example: key person unavailable near the deadline</t>
        </is>
      </c>
      <c r="C6" s="51" t="inlineStr">
        <is>
          <t>Risk</t>
        </is>
      </c>
      <c r="D6" s="51" t="n">
        <v>2</v>
      </c>
      <c r="E6" s="51" t="n">
        <v>4</v>
      </c>
      <c r="F6" s="58">
        <f>IF(OR(D6="",E6=""),"",D6*E6)</f>
        <v/>
      </c>
      <c r="G6" s="58">
        <f>IF(F6="","",IF(F6&gt;=15,"High",IF(F6&gt;=8,"Medium","Low")))</f>
        <v/>
      </c>
      <c r="H6" s="51" t="inlineStr">
        <is>
          <t>Alex (example)</t>
        </is>
      </c>
      <c r="I6" s="65" t="inlineStr">
        <is>
          <t>Pair up on every critical task</t>
        </is>
      </c>
      <c r="J6" s="51" t="inlineStr">
        <is>
          <t>Open</t>
        </is>
      </c>
      <c r="K6" s="80" t="n"/>
    </row>
    <row r="7">
      <c r="A7" s="58">
        <f>IF(B7="","","R-"&amp;TEXT(ROW()-5,"00"))</f>
        <v/>
      </c>
      <c r="B7" s="65" t="n"/>
      <c r="C7" s="51" t="n"/>
      <c r="D7" s="51" t="n"/>
      <c r="E7" s="51" t="n"/>
      <c r="F7" s="58">
        <f>IF(OR(D7="",E7=""),"",D7*E7)</f>
        <v/>
      </c>
      <c r="G7" s="58">
        <f>IF(F7="","",IF(F7&gt;=15,"High",IF(F7&gt;=8,"Medium","Low")))</f>
        <v/>
      </c>
      <c r="H7" s="51" t="n"/>
      <c r="I7" s="65" t="n"/>
      <c r="J7" s="51" t="n"/>
      <c r="K7" s="80" t="n"/>
    </row>
    <row r="8">
      <c r="A8" s="58">
        <f>IF(B8="","","R-"&amp;TEXT(ROW()-5,"00"))</f>
        <v/>
      </c>
      <c r="B8" s="65" t="n"/>
      <c r="C8" s="51" t="n"/>
      <c r="D8" s="51" t="n"/>
      <c r="E8" s="51" t="n"/>
      <c r="F8" s="58">
        <f>IF(OR(D8="",E8=""),"",D8*E8)</f>
        <v/>
      </c>
      <c r="G8" s="58">
        <f>IF(F8="","",IF(F8&gt;=15,"High",IF(F8&gt;=8,"Medium","Low")))</f>
        <v/>
      </c>
      <c r="H8" s="51" t="n"/>
      <c r="I8" s="65" t="n"/>
      <c r="J8" s="51" t="n"/>
      <c r="K8" s="80" t="n"/>
    </row>
    <row r="9">
      <c r="A9" s="58">
        <f>IF(B9="","","R-"&amp;TEXT(ROW()-5,"00"))</f>
        <v/>
      </c>
      <c r="B9" s="65" t="n"/>
      <c r="C9" s="51" t="n"/>
      <c r="D9" s="51" t="n"/>
      <c r="E9" s="51" t="n"/>
      <c r="F9" s="58">
        <f>IF(OR(D9="",E9=""),"",D9*E9)</f>
        <v/>
      </c>
      <c r="G9" s="58">
        <f>IF(F9="","",IF(F9&gt;=15,"High",IF(F9&gt;=8,"Medium","Low")))</f>
        <v/>
      </c>
      <c r="H9" s="51" t="n"/>
      <c r="I9" s="65" t="n"/>
      <c r="J9" s="51" t="n"/>
      <c r="K9" s="80" t="n"/>
    </row>
    <row r="10">
      <c r="A10" s="58">
        <f>IF(B10="","","R-"&amp;TEXT(ROW()-5,"00"))</f>
        <v/>
      </c>
      <c r="B10" s="65" t="n"/>
      <c r="C10" s="51" t="n"/>
      <c r="D10" s="51" t="n"/>
      <c r="E10" s="51" t="n"/>
      <c r="F10" s="58">
        <f>IF(OR(D10="",E10=""),"",D10*E10)</f>
        <v/>
      </c>
      <c r="G10" s="58">
        <f>IF(F10="","",IF(F10&gt;=15,"High",IF(F10&gt;=8,"Medium","Low")))</f>
        <v/>
      </c>
      <c r="H10" s="51" t="n"/>
      <c r="I10" s="65" t="n"/>
      <c r="J10" s="51" t="n"/>
      <c r="K10" s="80" t="n"/>
    </row>
    <row r="11">
      <c r="A11" s="58">
        <f>IF(B11="","","R-"&amp;TEXT(ROW()-5,"00"))</f>
        <v/>
      </c>
      <c r="B11" s="65" t="n"/>
      <c r="C11" s="51" t="n"/>
      <c r="D11" s="51" t="n"/>
      <c r="E11" s="51" t="n"/>
      <c r="F11" s="58">
        <f>IF(OR(D11="",E11=""),"",D11*E11)</f>
        <v/>
      </c>
      <c r="G11" s="58">
        <f>IF(F11="","",IF(F11&gt;=15,"High",IF(F11&gt;=8,"Medium","Low")))</f>
        <v/>
      </c>
      <c r="H11" s="51" t="n"/>
      <c r="I11" s="65" t="n"/>
      <c r="J11" s="51" t="n"/>
      <c r="K11" s="80" t="n"/>
    </row>
    <row r="12">
      <c r="A12" s="58">
        <f>IF(B12="","","R-"&amp;TEXT(ROW()-5,"00"))</f>
        <v/>
      </c>
      <c r="B12" s="65" t="n"/>
      <c r="C12" s="51" t="n"/>
      <c r="D12" s="51" t="n"/>
      <c r="E12" s="51" t="n"/>
      <c r="F12" s="58">
        <f>IF(OR(D12="",E12=""),"",D12*E12)</f>
        <v/>
      </c>
      <c r="G12" s="58">
        <f>IF(F12="","",IF(F12&gt;=15,"High",IF(F12&gt;=8,"Medium","Low")))</f>
        <v/>
      </c>
      <c r="H12" s="51" t="n"/>
      <c r="I12" s="65" t="n"/>
      <c r="J12" s="51" t="n"/>
      <c r="K12" s="80" t="n"/>
    </row>
    <row r="13">
      <c r="A13" s="58">
        <f>IF(B13="","","R-"&amp;TEXT(ROW()-5,"00"))</f>
        <v/>
      </c>
      <c r="B13" s="65" t="n"/>
      <c r="C13" s="51" t="n"/>
      <c r="D13" s="51" t="n"/>
      <c r="E13" s="51" t="n"/>
      <c r="F13" s="58">
        <f>IF(OR(D13="",E13=""),"",D13*E13)</f>
        <v/>
      </c>
      <c r="G13" s="58">
        <f>IF(F13="","",IF(F13&gt;=15,"High",IF(F13&gt;=8,"Medium","Low")))</f>
        <v/>
      </c>
      <c r="H13" s="51" t="n"/>
      <c r="I13" s="65" t="n"/>
      <c r="J13" s="51" t="n"/>
      <c r="K13" s="80" t="n"/>
    </row>
    <row r="14">
      <c r="A14" s="58">
        <f>IF(B14="","","R-"&amp;TEXT(ROW()-5,"00"))</f>
        <v/>
      </c>
      <c r="B14" s="65" t="n"/>
      <c r="C14" s="51" t="n"/>
      <c r="D14" s="51" t="n"/>
      <c r="E14" s="51" t="n"/>
      <c r="F14" s="58">
        <f>IF(OR(D14="",E14=""),"",D14*E14)</f>
        <v/>
      </c>
      <c r="G14" s="58">
        <f>IF(F14="","",IF(F14&gt;=15,"High",IF(F14&gt;=8,"Medium","Low")))</f>
        <v/>
      </c>
      <c r="H14" s="51" t="n"/>
      <c r="I14" s="65" t="n"/>
      <c r="J14" s="51" t="n"/>
      <c r="K14" s="80" t="n"/>
    </row>
    <row r="15">
      <c r="A15" s="58">
        <f>IF(B15="","","R-"&amp;TEXT(ROW()-5,"00"))</f>
        <v/>
      </c>
      <c r="B15" s="65" t="n"/>
      <c r="C15" s="51" t="n"/>
      <c r="D15" s="51" t="n"/>
      <c r="E15" s="51" t="n"/>
      <c r="F15" s="58">
        <f>IF(OR(D15="",E15=""),"",D15*E15)</f>
        <v/>
      </c>
      <c r="G15" s="58">
        <f>IF(F15="","",IF(F15&gt;=15,"High",IF(F15&gt;=8,"Medium","Low")))</f>
        <v/>
      </c>
      <c r="H15" s="51" t="n"/>
      <c r="I15" s="65" t="n"/>
      <c r="J15" s="51" t="n"/>
      <c r="K15" s="80" t="n"/>
    </row>
    <row r="16">
      <c r="A16" s="58">
        <f>IF(B16="","","R-"&amp;TEXT(ROW()-5,"00"))</f>
        <v/>
      </c>
      <c r="B16" s="65" t="n"/>
      <c r="C16" s="51" t="n"/>
      <c r="D16" s="51" t="n"/>
      <c r="E16" s="51" t="n"/>
      <c r="F16" s="58">
        <f>IF(OR(D16="",E16=""),"",D16*E16)</f>
        <v/>
      </c>
      <c r="G16" s="58">
        <f>IF(F16="","",IF(F16&gt;=15,"High",IF(F16&gt;=8,"Medium","Low")))</f>
        <v/>
      </c>
      <c r="H16" s="51" t="n"/>
      <c r="I16" s="65" t="n"/>
      <c r="J16" s="51" t="n"/>
      <c r="K16" s="80" t="n"/>
    </row>
    <row r="17">
      <c r="A17" s="58">
        <f>IF(B17="","","R-"&amp;TEXT(ROW()-5,"00"))</f>
        <v/>
      </c>
      <c r="B17" s="65" t="n"/>
      <c r="C17" s="51" t="n"/>
      <c r="D17" s="51" t="n"/>
      <c r="E17" s="51" t="n"/>
      <c r="F17" s="58">
        <f>IF(OR(D17="",E17=""),"",D17*E17)</f>
        <v/>
      </c>
      <c r="G17" s="58">
        <f>IF(F17="","",IF(F17&gt;=15,"High",IF(F17&gt;=8,"Medium","Low")))</f>
        <v/>
      </c>
      <c r="H17" s="51" t="n"/>
      <c r="I17" s="65" t="n"/>
      <c r="J17" s="51" t="n"/>
      <c r="K17" s="80" t="n"/>
    </row>
    <row r="18">
      <c r="A18" s="58">
        <f>IF(B18="","","R-"&amp;TEXT(ROW()-5,"00"))</f>
        <v/>
      </c>
      <c r="B18" s="65" t="n"/>
      <c r="C18" s="51" t="n"/>
      <c r="D18" s="51" t="n"/>
      <c r="E18" s="51" t="n"/>
      <c r="F18" s="58">
        <f>IF(OR(D18="",E18=""),"",D18*E18)</f>
        <v/>
      </c>
      <c r="G18" s="58">
        <f>IF(F18="","",IF(F18&gt;=15,"High",IF(F18&gt;=8,"Medium","Low")))</f>
        <v/>
      </c>
      <c r="H18" s="51" t="n"/>
      <c r="I18" s="65" t="n"/>
      <c r="J18" s="51" t="n"/>
      <c r="K18" s="80" t="n"/>
    </row>
    <row r="19">
      <c r="A19" s="58">
        <f>IF(B19="","","R-"&amp;TEXT(ROW()-5,"00"))</f>
        <v/>
      </c>
      <c r="B19" s="65" t="n"/>
      <c r="C19" s="51" t="n"/>
      <c r="D19" s="51" t="n"/>
      <c r="E19" s="51" t="n"/>
      <c r="F19" s="58">
        <f>IF(OR(D19="",E19=""),"",D19*E19)</f>
        <v/>
      </c>
      <c r="G19" s="58">
        <f>IF(F19="","",IF(F19&gt;=15,"High",IF(F19&gt;=8,"Medium","Low")))</f>
        <v/>
      </c>
      <c r="H19" s="51" t="n"/>
      <c r="I19" s="65" t="n"/>
      <c r="J19" s="51" t="n"/>
      <c r="K19" s="80" t="n"/>
    </row>
    <row r="20">
      <c r="A20" s="58">
        <f>IF(B20="","","R-"&amp;TEXT(ROW()-5,"00"))</f>
        <v/>
      </c>
      <c r="B20" s="65" t="n"/>
      <c r="C20" s="51" t="n"/>
      <c r="D20" s="51" t="n"/>
      <c r="E20" s="51" t="n"/>
      <c r="F20" s="58">
        <f>IF(OR(D20="",E20=""),"",D20*E20)</f>
        <v/>
      </c>
      <c r="G20" s="58">
        <f>IF(F20="","",IF(F20&gt;=15,"High",IF(F20&gt;=8,"Medium","Low")))</f>
        <v/>
      </c>
      <c r="H20" s="51" t="n"/>
      <c r="I20" s="65" t="n"/>
      <c r="J20" s="51" t="n"/>
      <c r="K20" s="80" t="n"/>
    </row>
    <row r="21">
      <c r="A21" s="58">
        <f>IF(B21="","","R-"&amp;TEXT(ROW()-5,"00"))</f>
        <v/>
      </c>
      <c r="B21" s="65" t="n"/>
      <c r="C21" s="51" t="n"/>
      <c r="D21" s="51" t="n"/>
      <c r="E21" s="51" t="n"/>
      <c r="F21" s="58">
        <f>IF(OR(D21="",E21=""),"",D21*E21)</f>
        <v/>
      </c>
      <c r="G21" s="58">
        <f>IF(F21="","",IF(F21&gt;=15,"High",IF(F21&gt;=8,"Medium","Low")))</f>
        <v/>
      </c>
      <c r="H21" s="51" t="n"/>
      <c r="I21" s="65" t="n"/>
      <c r="J21" s="51" t="n"/>
      <c r="K21" s="80" t="n"/>
    </row>
    <row r="22">
      <c r="A22" s="58">
        <f>IF(B22="","","R-"&amp;TEXT(ROW()-5,"00"))</f>
        <v/>
      </c>
      <c r="B22" s="65" t="n"/>
      <c r="C22" s="51" t="n"/>
      <c r="D22" s="51" t="n"/>
      <c r="E22" s="51" t="n"/>
      <c r="F22" s="58">
        <f>IF(OR(D22="",E22=""),"",D22*E22)</f>
        <v/>
      </c>
      <c r="G22" s="58">
        <f>IF(F22="","",IF(F22&gt;=15,"High",IF(F22&gt;=8,"Medium","Low")))</f>
        <v/>
      </c>
      <c r="H22" s="51" t="n"/>
      <c r="I22" s="65" t="n"/>
      <c r="J22" s="51" t="n"/>
      <c r="K22" s="80" t="n"/>
    </row>
    <row r="23">
      <c r="A23" s="58">
        <f>IF(B23="","","R-"&amp;TEXT(ROW()-5,"00"))</f>
        <v/>
      </c>
      <c r="B23" s="65" t="n"/>
      <c r="C23" s="51" t="n"/>
      <c r="D23" s="51" t="n"/>
      <c r="E23" s="51" t="n"/>
      <c r="F23" s="58">
        <f>IF(OR(D23="",E23=""),"",D23*E23)</f>
        <v/>
      </c>
      <c r="G23" s="58">
        <f>IF(F23="","",IF(F23&gt;=15,"High",IF(F23&gt;=8,"Medium","Low")))</f>
        <v/>
      </c>
      <c r="H23" s="51" t="n"/>
      <c r="I23" s="65" t="n"/>
      <c r="J23" s="51" t="n"/>
      <c r="K23" s="80" t="n"/>
    </row>
    <row r="24">
      <c r="A24" s="58">
        <f>IF(B24="","","R-"&amp;TEXT(ROW()-5,"00"))</f>
        <v/>
      </c>
      <c r="B24" s="65" t="n"/>
      <c r="C24" s="51" t="n"/>
      <c r="D24" s="51" t="n"/>
      <c r="E24" s="51" t="n"/>
      <c r="F24" s="58">
        <f>IF(OR(D24="",E24=""),"",D24*E24)</f>
        <v/>
      </c>
      <c r="G24" s="58">
        <f>IF(F24="","",IF(F24&gt;=15,"High",IF(F24&gt;=8,"Medium","Low")))</f>
        <v/>
      </c>
      <c r="H24" s="51" t="n"/>
      <c r="I24" s="65" t="n"/>
      <c r="J24" s="51" t="n"/>
      <c r="K24" s="80" t="n"/>
    </row>
    <row r="25">
      <c r="A25" s="58">
        <f>IF(B25="","","R-"&amp;TEXT(ROW()-5,"00"))</f>
        <v/>
      </c>
      <c r="B25" s="65" t="n"/>
      <c r="C25" s="51" t="n"/>
      <c r="D25" s="51" t="n"/>
      <c r="E25" s="51" t="n"/>
      <c r="F25" s="58">
        <f>IF(OR(D25="",E25=""),"",D25*E25)</f>
        <v/>
      </c>
      <c r="G25" s="58">
        <f>IF(F25="","",IF(F25&gt;=15,"High",IF(F25&gt;=8,"Medium","Low")))</f>
        <v/>
      </c>
      <c r="H25" s="51" t="n"/>
      <c r="I25" s="65" t="n"/>
      <c r="J25" s="51" t="n"/>
      <c r="K25" s="80" t="n"/>
    </row>
    <row r="26">
      <c r="A26" s="58">
        <f>IF(B26="","","R-"&amp;TEXT(ROW()-5,"00"))</f>
        <v/>
      </c>
      <c r="B26" s="65" t="n"/>
      <c r="C26" s="51" t="n"/>
      <c r="D26" s="51" t="n"/>
      <c r="E26" s="51" t="n"/>
      <c r="F26" s="58">
        <f>IF(OR(D26="",E26=""),"",D26*E26)</f>
        <v/>
      </c>
      <c r="G26" s="58">
        <f>IF(F26="","",IF(F26&gt;=15,"High",IF(F26&gt;=8,"Medium","Low")))</f>
        <v/>
      </c>
      <c r="H26" s="51" t="n"/>
      <c r="I26" s="65" t="n"/>
      <c r="J26" s="51" t="n"/>
      <c r="K26" s="80" t="n"/>
    </row>
    <row r="27">
      <c r="A27" s="58">
        <f>IF(B27="","","R-"&amp;TEXT(ROW()-5,"00"))</f>
        <v/>
      </c>
      <c r="B27" s="65" t="n"/>
      <c r="C27" s="51" t="n"/>
      <c r="D27" s="51" t="n"/>
      <c r="E27" s="51" t="n"/>
      <c r="F27" s="58">
        <f>IF(OR(D27="",E27=""),"",D27*E27)</f>
        <v/>
      </c>
      <c r="G27" s="58">
        <f>IF(F27="","",IF(F27&gt;=15,"High",IF(F27&gt;=8,"Medium","Low")))</f>
        <v/>
      </c>
      <c r="H27" s="51" t="n"/>
      <c r="I27" s="65" t="n"/>
      <c r="J27" s="51" t="n"/>
      <c r="K27" s="80" t="n"/>
    </row>
    <row r="28">
      <c r="A28" s="58">
        <f>IF(B28="","","R-"&amp;TEXT(ROW()-5,"00"))</f>
        <v/>
      </c>
      <c r="B28" s="65" t="n"/>
      <c r="C28" s="51" t="n"/>
      <c r="D28" s="51" t="n"/>
      <c r="E28" s="51" t="n"/>
      <c r="F28" s="58">
        <f>IF(OR(D28="",E28=""),"",D28*E28)</f>
        <v/>
      </c>
      <c r="G28" s="58">
        <f>IF(F28="","",IF(F28&gt;=15,"High",IF(F28&gt;=8,"Medium","Low")))</f>
        <v/>
      </c>
      <c r="H28" s="51" t="n"/>
      <c r="I28" s="65" t="n"/>
      <c r="J28" s="51" t="n"/>
      <c r="K28" s="80" t="n"/>
    </row>
    <row r="29">
      <c r="A29" s="58">
        <f>IF(B29="","","R-"&amp;TEXT(ROW()-5,"00"))</f>
        <v/>
      </c>
      <c r="B29" s="65" t="n"/>
      <c r="C29" s="51" t="n"/>
      <c r="D29" s="51" t="n"/>
      <c r="E29" s="51" t="n"/>
      <c r="F29" s="58">
        <f>IF(OR(D29="",E29=""),"",D29*E29)</f>
        <v/>
      </c>
      <c r="G29" s="58">
        <f>IF(F29="","",IF(F29&gt;=15,"High",IF(F29&gt;=8,"Medium","Low")))</f>
        <v/>
      </c>
      <c r="H29" s="51" t="n"/>
      <c r="I29" s="65" t="n"/>
      <c r="J29" s="51" t="n"/>
      <c r="K29" s="80" t="n"/>
    </row>
    <row r="30">
      <c r="A30" s="58">
        <f>IF(B30="","","R-"&amp;TEXT(ROW()-5,"00"))</f>
        <v/>
      </c>
      <c r="B30" s="65" t="n"/>
      <c r="C30" s="51" t="n"/>
      <c r="D30" s="51" t="n"/>
      <c r="E30" s="51" t="n"/>
      <c r="F30" s="58">
        <f>IF(OR(D30="",E30=""),"",D30*E30)</f>
        <v/>
      </c>
      <c r="G30" s="58">
        <f>IF(F30="","",IF(F30&gt;=15,"High",IF(F30&gt;=8,"Medium","Low")))</f>
        <v/>
      </c>
      <c r="H30" s="51" t="n"/>
      <c r="I30" s="65" t="n"/>
      <c r="J30" s="51" t="n"/>
      <c r="K30" s="80" t="n"/>
    </row>
    <row r="31">
      <c r="A31" s="58">
        <f>IF(B31="","","R-"&amp;TEXT(ROW()-5,"00"))</f>
        <v/>
      </c>
      <c r="B31" s="65" t="n"/>
      <c r="C31" s="51" t="n"/>
      <c r="D31" s="51" t="n"/>
      <c r="E31" s="51" t="n"/>
      <c r="F31" s="58">
        <f>IF(OR(D31="",E31=""),"",D31*E31)</f>
        <v/>
      </c>
      <c r="G31" s="58">
        <f>IF(F31="","",IF(F31&gt;=15,"High",IF(F31&gt;=8,"Medium","Low")))</f>
        <v/>
      </c>
      <c r="H31" s="51" t="n"/>
      <c r="I31" s="65" t="n"/>
      <c r="J31" s="51" t="n"/>
      <c r="K31" s="80" t="n"/>
    </row>
    <row r="32">
      <c r="A32" s="58">
        <f>IF(B32="","","R-"&amp;TEXT(ROW()-5,"00"))</f>
        <v/>
      </c>
      <c r="B32" s="65" t="n"/>
      <c r="C32" s="51" t="n"/>
      <c r="D32" s="51" t="n"/>
      <c r="E32" s="51" t="n"/>
      <c r="F32" s="58">
        <f>IF(OR(D32="",E32=""),"",D32*E32)</f>
        <v/>
      </c>
      <c r="G32" s="58">
        <f>IF(F32="","",IF(F32&gt;=15,"High",IF(F32&gt;=8,"Medium","Low")))</f>
        <v/>
      </c>
      <c r="H32" s="51" t="n"/>
      <c r="I32" s="65" t="n"/>
      <c r="J32" s="51" t="n"/>
      <c r="K32" s="80" t="n"/>
    </row>
    <row r="33">
      <c r="A33" s="58">
        <f>IF(B33="","","R-"&amp;TEXT(ROW()-5,"00"))</f>
        <v/>
      </c>
      <c r="B33" s="65" t="n"/>
      <c r="C33" s="51" t="n"/>
      <c r="D33" s="51" t="n"/>
      <c r="E33" s="51" t="n"/>
      <c r="F33" s="58">
        <f>IF(OR(D33="",E33=""),"",D33*E33)</f>
        <v/>
      </c>
      <c r="G33" s="58">
        <f>IF(F33="","",IF(F33&gt;=15,"High",IF(F33&gt;=8,"Medium","Low")))</f>
        <v/>
      </c>
      <c r="H33" s="51" t="n"/>
      <c r="I33" s="65" t="n"/>
      <c r="J33" s="51" t="n"/>
      <c r="K33" s="80" t="n"/>
    </row>
    <row r="34">
      <c r="A34" s="58">
        <f>IF(B34="","","R-"&amp;TEXT(ROW()-5,"00"))</f>
        <v/>
      </c>
      <c r="B34" s="65" t="n"/>
      <c r="C34" s="51" t="n"/>
      <c r="D34" s="51" t="n"/>
      <c r="E34" s="51" t="n"/>
      <c r="F34" s="58">
        <f>IF(OR(D34="",E34=""),"",D34*E34)</f>
        <v/>
      </c>
      <c r="G34" s="58">
        <f>IF(F34="","",IF(F34&gt;=15,"High",IF(F34&gt;=8,"Medium","Low")))</f>
        <v/>
      </c>
      <c r="H34" s="51" t="n"/>
      <c r="I34" s="65" t="n"/>
      <c r="J34" s="51" t="n"/>
      <c r="K34" s="80" t="n"/>
    </row>
    <row r="35">
      <c r="A35" s="58">
        <f>IF(B35="","","R-"&amp;TEXT(ROW()-5,"00"))</f>
        <v/>
      </c>
      <c r="B35" s="65" t="n"/>
      <c r="C35" s="51" t="n"/>
      <c r="D35" s="51" t="n"/>
      <c r="E35" s="51" t="n"/>
      <c r="F35" s="58">
        <f>IF(OR(D35="",E35=""),"",D35*E35)</f>
        <v/>
      </c>
      <c r="G35" s="58">
        <f>IF(F35="","",IF(F35&gt;=15,"High",IF(F35&gt;=8,"Medium","Low")))</f>
        <v/>
      </c>
      <c r="H35" s="51" t="n"/>
      <c r="I35" s="65" t="n"/>
      <c r="J35" s="51" t="n"/>
      <c r="K35" s="80" t="n"/>
    </row>
    <row r="36">
      <c r="A36" s="58">
        <f>IF(B36="","","R-"&amp;TEXT(ROW()-5,"00"))</f>
        <v/>
      </c>
      <c r="B36" s="65" t="n"/>
      <c r="C36" s="51" t="n"/>
      <c r="D36" s="51" t="n"/>
      <c r="E36" s="51" t="n"/>
      <c r="F36" s="58">
        <f>IF(OR(D36="",E36=""),"",D36*E36)</f>
        <v/>
      </c>
      <c r="G36" s="58">
        <f>IF(F36="","",IF(F36&gt;=15,"High",IF(F36&gt;=8,"Medium","Low")))</f>
        <v/>
      </c>
      <c r="H36" s="51" t="n"/>
      <c r="I36" s="65" t="n"/>
      <c r="J36" s="51" t="n"/>
      <c r="K36" s="80" t="n"/>
    </row>
    <row r="37">
      <c r="A37" s="58">
        <f>IF(B37="","","R-"&amp;TEXT(ROW()-5,"00"))</f>
        <v/>
      </c>
      <c r="B37" s="65" t="n"/>
      <c r="C37" s="51" t="n"/>
      <c r="D37" s="51" t="n"/>
      <c r="E37" s="51" t="n"/>
      <c r="F37" s="58">
        <f>IF(OR(D37="",E37=""),"",D37*E37)</f>
        <v/>
      </c>
      <c r="G37" s="58">
        <f>IF(F37="","",IF(F37&gt;=15,"High",IF(F37&gt;=8,"Medium","Low")))</f>
        <v/>
      </c>
      <c r="H37" s="51" t="n"/>
      <c r="I37" s="65" t="n"/>
      <c r="J37" s="51" t="n"/>
      <c r="K37" s="80" t="n"/>
    </row>
    <row r="38">
      <c r="A38" s="58">
        <f>IF(B38="","","R-"&amp;TEXT(ROW()-5,"00"))</f>
        <v/>
      </c>
      <c r="B38" s="65" t="n"/>
      <c r="C38" s="51" t="n"/>
      <c r="D38" s="51" t="n"/>
      <c r="E38" s="51" t="n"/>
      <c r="F38" s="58">
        <f>IF(OR(D38="",E38=""),"",D38*E38)</f>
        <v/>
      </c>
      <c r="G38" s="58">
        <f>IF(F38="","",IF(F38&gt;=15,"High",IF(F38&gt;=8,"Medium","Low")))</f>
        <v/>
      </c>
      <c r="H38" s="51" t="n"/>
      <c r="I38" s="65" t="n"/>
      <c r="J38" s="51" t="n"/>
      <c r="K38" s="80" t="n"/>
    </row>
    <row r="39">
      <c r="A39" s="58">
        <f>IF(B39="","","R-"&amp;TEXT(ROW()-5,"00"))</f>
        <v/>
      </c>
      <c r="B39" s="65" t="n"/>
      <c r="C39" s="51" t="n"/>
      <c r="D39" s="51" t="n"/>
      <c r="E39" s="51" t="n"/>
      <c r="F39" s="58">
        <f>IF(OR(D39="",E39=""),"",D39*E39)</f>
        <v/>
      </c>
      <c r="G39" s="58">
        <f>IF(F39="","",IF(F39&gt;=15,"High",IF(F39&gt;=8,"Medium","Low")))</f>
        <v/>
      </c>
      <c r="H39" s="51" t="n"/>
      <c r="I39" s="65" t="n"/>
      <c r="J39" s="51" t="n"/>
      <c r="K39" s="80" t="n"/>
    </row>
    <row r="40">
      <c r="A40" s="58">
        <f>IF(B40="","","R-"&amp;TEXT(ROW()-5,"00"))</f>
        <v/>
      </c>
      <c r="B40" s="65" t="n"/>
      <c r="C40" s="51" t="n"/>
      <c r="D40" s="51" t="n"/>
      <c r="E40" s="51" t="n"/>
      <c r="F40" s="58">
        <f>IF(OR(D40="",E40=""),"",D40*E40)</f>
        <v/>
      </c>
      <c r="G40" s="58">
        <f>IF(F40="","",IF(F40&gt;=15,"High",IF(F40&gt;=8,"Medium","Low")))</f>
        <v/>
      </c>
      <c r="H40" s="51" t="n"/>
      <c r="I40" s="65" t="n"/>
      <c r="J40" s="51" t="n"/>
      <c r="K40" s="80" t="n"/>
    </row>
    <row r="41">
      <c r="A41" s="58">
        <f>IF(B41="","","R-"&amp;TEXT(ROW()-5,"00"))</f>
        <v/>
      </c>
      <c r="B41" s="65" t="n"/>
      <c r="C41" s="51" t="n"/>
      <c r="D41" s="51" t="n"/>
      <c r="E41" s="51" t="n"/>
      <c r="F41" s="58">
        <f>IF(OR(D41="",E41=""),"",D41*E41)</f>
        <v/>
      </c>
      <c r="G41" s="58">
        <f>IF(F41="","",IF(F41&gt;=15,"High",IF(F41&gt;=8,"Medium","Low")))</f>
        <v/>
      </c>
      <c r="H41" s="51" t="n"/>
      <c r="I41" s="65" t="n"/>
      <c r="J41" s="51" t="n"/>
      <c r="K41" s="80" t="n"/>
    </row>
    <row r="42">
      <c r="A42" s="58">
        <f>IF(B42="","","R-"&amp;TEXT(ROW()-5,"00"))</f>
        <v/>
      </c>
      <c r="B42" s="65" t="n"/>
      <c r="C42" s="51" t="n"/>
      <c r="D42" s="51" t="n"/>
      <c r="E42" s="51" t="n"/>
      <c r="F42" s="58">
        <f>IF(OR(D42="",E42=""),"",D42*E42)</f>
        <v/>
      </c>
      <c r="G42" s="58">
        <f>IF(F42="","",IF(F42&gt;=15,"High",IF(F42&gt;=8,"Medium","Low")))</f>
        <v/>
      </c>
      <c r="H42" s="51" t="n"/>
      <c r="I42" s="65" t="n"/>
      <c r="J42" s="51" t="n"/>
      <c r="K42" s="80" t="n"/>
    </row>
    <row r="43">
      <c r="A43" s="58">
        <f>IF(B43="","","R-"&amp;TEXT(ROW()-5,"00"))</f>
        <v/>
      </c>
      <c r="B43" s="65" t="n"/>
      <c r="C43" s="51" t="n"/>
      <c r="D43" s="51" t="n"/>
      <c r="E43" s="51" t="n"/>
      <c r="F43" s="58">
        <f>IF(OR(D43="",E43=""),"",D43*E43)</f>
        <v/>
      </c>
      <c r="G43" s="58">
        <f>IF(F43="","",IF(F43&gt;=15,"High",IF(F43&gt;=8,"Medium","Low")))</f>
        <v/>
      </c>
      <c r="H43" s="51" t="n"/>
      <c r="I43" s="65" t="n"/>
      <c r="J43" s="51" t="n"/>
      <c r="K43" s="80" t="n"/>
    </row>
    <row r="44">
      <c r="A44" s="58">
        <f>IF(B44="","","R-"&amp;TEXT(ROW()-5,"00"))</f>
        <v/>
      </c>
      <c r="B44" s="65" t="n"/>
      <c r="C44" s="51" t="n"/>
      <c r="D44" s="51" t="n"/>
      <c r="E44" s="51" t="n"/>
      <c r="F44" s="58">
        <f>IF(OR(D44="",E44=""),"",D44*E44)</f>
        <v/>
      </c>
      <c r="G44" s="58">
        <f>IF(F44="","",IF(F44&gt;=15,"High",IF(F44&gt;=8,"Medium","Low")))</f>
        <v/>
      </c>
      <c r="H44" s="51" t="n"/>
      <c r="I44" s="65" t="n"/>
      <c r="J44" s="51" t="n"/>
      <c r="K44" s="80" t="n"/>
    </row>
    <row r="45">
      <c r="A45" s="58">
        <f>IF(B45="","","R-"&amp;TEXT(ROW()-5,"00"))</f>
        <v/>
      </c>
      <c r="B45" s="65" t="n"/>
      <c r="C45" s="51" t="n"/>
      <c r="D45" s="51" t="n"/>
      <c r="E45" s="51" t="n"/>
      <c r="F45" s="58">
        <f>IF(OR(D45="",E45=""),"",D45*E45)</f>
        <v/>
      </c>
      <c r="G45" s="58">
        <f>IF(F45="","",IF(F45&gt;=15,"High",IF(F45&gt;=8,"Medium","Low")))</f>
        <v/>
      </c>
      <c r="H45" s="51" t="n"/>
      <c r="I45" s="65" t="n"/>
      <c r="J45" s="51" t="n"/>
      <c r="K45" s="80" t="n"/>
    </row>
    <row r="46">
      <c r="A46" s="58">
        <f>IF(B46="","","R-"&amp;TEXT(ROW()-5,"00"))</f>
        <v/>
      </c>
      <c r="B46" s="65" t="n"/>
      <c r="C46" s="51" t="n"/>
      <c r="D46" s="51" t="n"/>
      <c r="E46" s="51" t="n"/>
      <c r="F46" s="58">
        <f>IF(OR(D46="",E46=""),"",D46*E46)</f>
        <v/>
      </c>
      <c r="G46" s="58">
        <f>IF(F46="","",IF(F46&gt;=15,"High",IF(F46&gt;=8,"Medium","Low")))</f>
        <v/>
      </c>
      <c r="H46" s="51" t="n"/>
      <c r="I46" s="65" t="n"/>
      <c r="J46" s="51" t="n"/>
      <c r="K46" s="80" t="n"/>
    </row>
    <row r="47">
      <c r="A47" s="58">
        <f>IF(B47="","","R-"&amp;TEXT(ROW()-5,"00"))</f>
        <v/>
      </c>
      <c r="B47" s="65" t="n"/>
      <c r="C47" s="51" t="n"/>
      <c r="D47" s="51" t="n"/>
      <c r="E47" s="51" t="n"/>
      <c r="F47" s="58">
        <f>IF(OR(D47="",E47=""),"",D47*E47)</f>
        <v/>
      </c>
      <c r="G47" s="58">
        <f>IF(F47="","",IF(F47&gt;=15,"High",IF(F47&gt;=8,"Medium","Low")))</f>
        <v/>
      </c>
      <c r="H47" s="51" t="n"/>
      <c r="I47" s="65" t="n"/>
      <c r="J47" s="51" t="n"/>
      <c r="K47" s="80" t="n"/>
    </row>
    <row r="48">
      <c r="A48" s="58">
        <f>IF(B48="","","R-"&amp;TEXT(ROW()-5,"00"))</f>
        <v/>
      </c>
      <c r="B48" s="65" t="n"/>
      <c r="C48" s="51" t="n"/>
      <c r="D48" s="51" t="n"/>
      <c r="E48" s="51" t="n"/>
      <c r="F48" s="58">
        <f>IF(OR(D48="",E48=""),"",D48*E48)</f>
        <v/>
      </c>
      <c r="G48" s="58">
        <f>IF(F48="","",IF(F48&gt;=15,"High",IF(F48&gt;=8,"Medium","Low")))</f>
        <v/>
      </c>
      <c r="H48" s="51" t="n"/>
      <c r="I48" s="65" t="n"/>
      <c r="J48" s="51" t="n"/>
      <c r="K48" s="80" t="n"/>
    </row>
    <row r="49">
      <c r="A49" s="58">
        <f>IF(B49="","","R-"&amp;TEXT(ROW()-5,"00"))</f>
        <v/>
      </c>
      <c r="B49" s="65" t="n"/>
      <c r="C49" s="51" t="n"/>
      <c r="D49" s="51" t="n"/>
      <c r="E49" s="51" t="n"/>
      <c r="F49" s="58">
        <f>IF(OR(D49="",E49=""),"",D49*E49)</f>
        <v/>
      </c>
      <c r="G49" s="58">
        <f>IF(F49="","",IF(F49&gt;=15,"High",IF(F49&gt;=8,"Medium","Low")))</f>
        <v/>
      </c>
      <c r="H49" s="51" t="n"/>
      <c r="I49" s="65" t="n"/>
      <c r="J49" s="51" t="n"/>
      <c r="K49" s="80" t="n"/>
    </row>
    <row r="50">
      <c r="A50" s="58">
        <f>IF(B50="","","R-"&amp;TEXT(ROW()-5,"00"))</f>
        <v/>
      </c>
      <c r="B50" s="65" t="n"/>
      <c r="C50" s="51" t="n"/>
      <c r="D50" s="51" t="n"/>
      <c r="E50" s="51" t="n"/>
      <c r="F50" s="58">
        <f>IF(OR(D50="",E50=""),"",D50*E50)</f>
        <v/>
      </c>
      <c r="G50" s="58">
        <f>IF(F50="","",IF(F50&gt;=15,"High",IF(F50&gt;=8,"Medium","Low")))</f>
        <v/>
      </c>
      <c r="H50" s="51" t="n"/>
      <c r="I50" s="65" t="n"/>
      <c r="J50" s="51" t="n"/>
      <c r="K50" s="80" t="n"/>
    </row>
    <row r="51">
      <c r="A51" s="58">
        <f>IF(B51="","","R-"&amp;TEXT(ROW()-5,"00"))</f>
        <v/>
      </c>
      <c r="B51" s="65" t="n"/>
      <c r="C51" s="51" t="n"/>
      <c r="D51" s="51" t="n"/>
      <c r="E51" s="51" t="n"/>
      <c r="F51" s="58">
        <f>IF(OR(D51="",E51=""),"",D51*E51)</f>
        <v/>
      </c>
      <c r="G51" s="58">
        <f>IF(F51="","",IF(F51&gt;=15,"High",IF(F51&gt;=8,"Medium","Low")))</f>
        <v/>
      </c>
      <c r="H51" s="51" t="n"/>
      <c r="I51" s="65" t="n"/>
      <c r="J51" s="51" t="n"/>
      <c r="K51" s="80" t="n"/>
    </row>
    <row r="52">
      <c r="A52" s="58">
        <f>IF(B52="","","R-"&amp;TEXT(ROW()-5,"00"))</f>
        <v/>
      </c>
      <c r="B52" s="65" t="n"/>
      <c r="C52" s="51" t="n"/>
      <c r="D52" s="51" t="n"/>
      <c r="E52" s="51" t="n"/>
      <c r="F52" s="58">
        <f>IF(OR(D52="",E52=""),"",D52*E52)</f>
        <v/>
      </c>
      <c r="G52" s="58">
        <f>IF(F52="","",IF(F52&gt;=15,"High",IF(F52&gt;=8,"Medium","Low")))</f>
        <v/>
      </c>
      <c r="H52" s="51" t="n"/>
      <c r="I52" s="65" t="n"/>
      <c r="J52" s="51" t="n"/>
      <c r="K52" s="80" t="n"/>
    </row>
    <row r="53">
      <c r="A53" s="58">
        <f>IF(B53="","","R-"&amp;TEXT(ROW()-5,"00"))</f>
        <v/>
      </c>
      <c r="B53" s="65" t="n"/>
      <c r="C53" s="51" t="n"/>
      <c r="D53" s="51" t="n"/>
      <c r="E53" s="51" t="n"/>
      <c r="F53" s="58">
        <f>IF(OR(D53="",E53=""),"",D53*E53)</f>
        <v/>
      </c>
      <c r="G53" s="58">
        <f>IF(F53="","",IF(F53&gt;=15,"High",IF(F53&gt;=8,"Medium","Low")))</f>
        <v/>
      </c>
      <c r="H53" s="51" t="n"/>
      <c r="I53" s="65" t="n"/>
      <c r="J53" s="51" t="n"/>
      <c r="K53" s="80" t="n"/>
    </row>
    <row r="54">
      <c r="A54" s="58">
        <f>IF(B54="","","R-"&amp;TEXT(ROW()-5,"00"))</f>
        <v/>
      </c>
      <c r="B54" s="65" t="n"/>
      <c r="C54" s="51" t="n"/>
      <c r="D54" s="51" t="n"/>
      <c r="E54" s="51" t="n"/>
      <c r="F54" s="58">
        <f>IF(OR(D54="",E54=""),"",D54*E54)</f>
        <v/>
      </c>
      <c r="G54" s="58">
        <f>IF(F54="","",IF(F54&gt;=15,"High",IF(F54&gt;=8,"Medium","Low")))</f>
        <v/>
      </c>
      <c r="H54" s="51" t="n"/>
      <c r="I54" s="65" t="n"/>
      <c r="J54" s="51" t="n"/>
      <c r="K54" s="80" t="n"/>
    </row>
    <row r="55">
      <c r="A55" s="58">
        <f>IF(B55="","","R-"&amp;TEXT(ROW()-5,"00"))</f>
        <v/>
      </c>
      <c r="B55" s="65" t="n"/>
      <c r="C55" s="51" t="n"/>
      <c r="D55" s="51" t="n"/>
      <c r="E55" s="51" t="n"/>
      <c r="F55" s="58">
        <f>IF(OR(D55="",E55=""),"",D55*E55)</f>
        <v/>
      </c>
      <c r="G55" s="58">
        <f>IF(F55="","",IF(F55&gt;=15,"High",IF(F55&gt;=8,"Medium","Low")))</f>
        <v/>
      </c>
      <c r="H55" s="51" t="n"/>
      <c r="I55" s="65" t="n"/>
      <c r="J55" s="51" t="n"/>
      <c r="K55" s="80" t="n"/>
    </row>
    <row r="56">
      <c r="A56" s="58">
        <f>IF(B56="","","R-"&amp;TEXT(ROW()-5,"00"))</f>
        <v/>
      </c>
      <c r="B56" s="65" t="n"/>
      <c r="C56" s="51" t="n"/>
      <c r="D56" s="51" t="n"/>
      <c r="E56" s="51" t="n"/>
      <c r="F56" s="58">
        <f>IF(OR(D56="",E56=""),"",D56*E56)</f>
        <v/>
      </c>
      <c r="G56" s="58">
        <f>IF(F56="","",IF(F56&gt;=15,"High",IF(F56&gt;=8,"Medium","Low")))</f>
        <v/>
      </c>
      <c r="H56" s="51" t="n"/>
      <c r="I56" s="65" t="n"/>
      <c r="J56" s="51" t="n"/>
      <c r="K56" s="80" t="n"/>
    </row>
    <row r="57">
      <c r="A57" s="58">
        <f>IF(B57="","","R-"&amp;TEXT(ROW()-5,"00"))</f>
        <v/>
      </c>
      <c r="B57" s="65" t="n"/>
      <c r="C57" s="51" t="n"/>
      <c r="D57" s="51" t="n"/>
      <c r="E57" s="51" t="n"/>
      <c r="F57" s="58">
        <f>IF(OR(D57="",E57=""),"",D57*E57)</f>
        <v/>
      </c>
      <c r="G57" s="58">
        <f>IF(F57="","",IF(F57&gt;=15,"High",IF(F57&gt;=8,"Medium","Low")))</f>
        <v/>
      </c>
      <c r="H57" s="51" t="n"/>
      <c r="I57" s="65" t="n"/>
      <c r="J57" s="51" t="n"/>
      <c r="K57" s="80" t="n"/>
    </row>
    <row r="58">
      <c r="A58" s="58">
        <f>IF(B58="","","R-"&amp;TEXT(ROW()-5,"00"))</f>
        <v/>
      </c>
      <c r="B58" s="65" t="n"/>
      <c r="C58" s="51" t="n"/>
      <c r="D58" s="51" t="n"/>
      <c r="E58" s="51" t="n"/>
      <c r="F58" s="58">
        <f>IF(OR(D58="",E58=""),"",D58*E58)</f>
        <v/>
      </c>
      <c r="G58" s="58">
        <f>IF(F58="","",IF(F58&gt;=15,"High",IF(F58&gt;=8,"Medium","Low")))</f>
        <v/>
      </c>
      <c r="H58" s="51" t="n"/>
      <c r="I58" s="65" t="n"/>
      <c r="J58" s="51" t="n"/>
      <c r="K58" s="80" t="n"/>
    </row>
    <row r="59">
      <c r="A59" s="58">
        <f>IF(B59="","","R-"&amp;TEXT(ROW()-5,"00"))</f>
        <v/>
      </c>
      <c r="B59" s="65" t="n"/>
      <c r="C59" s="51" t="n"/>
      <c r="D59" s="51" t="n"/>
      <c r="E59" s="51" t="n"/>
      <c r="F59" s="58">
        <f>IF(OR(D59="",E59=""),"",D59*E59)</f>
        <v/>
      </c>
      <c r="G59" s="58">
        <f>IF(F59="","",IF(F59&gt;=15,"High",IF(F59&gt;=8,"Medium","Low")))</f>
        <v/>
      </c>
      <c r="H59" s="51" t="n"/>
      <c r="I59" s="65" t="n"/>
      <c r="J59" s="51" t="n"/>
      <c r="K59" s="80" t="n"/>
    </row>
    <row r="60">
      <c r="A60" s="58">
        <f>IF(B60="","","R-"&amp;TEXT(ROW()-5,"00"))</f>
        <v/>
      </c>
      <c r="B60" s="65" t="n"/>
      <c r="C60" s="51" t="n"/>
      <c r="D60" s="51" t="n"/>
      <c r="E60" s="51" t="n"/>
      <c r="F60" s="58">
        <f>IF(OR(D60="",E60=""),"",D60*E60)</f>
        <v/>
      </c>
      <c r="G60" s="58">
        <f>IF(F60="","",IF(F60&gt;=15,"High",IF(F60&gt;=8,"Medium","Low")))</f>
        <v/>
      </c>
      <c r="H60" s="51" t="n"/>
      <c r="I60" s="65" t="n"/>
      <c r="J60" s="51" t="n"/>
      <c r="K60" s="80" t="n"/>
    </row>
    <row r="61">
      <c r="A61" s="58">
        <f>IF(B61="","","R-"&amp;TEXT(ROW()-5,"00"))</f>
        <v/>
      </c>
      <c r="B61" s="65" t="n"/>
      <c r="C61" s="51" t="n"/>
      <c r="D61" s="51" t="n"/>
      <c r="E61" s="51" t="n"/>
      <c r="F61" s="58">
        <f>IF(OR(D61="",E61=""),"",D61*E61)</f>
        <v/>
      </c>
      <c r="G61" s="58">
        <f>IF(F61="","",IF(F61&gt;=15,"High",IF(F61&gt;=8,"Medium","Low")))</f>
        <v/>
      </c>
      <c r="H61" s="51" t="n"/>
      <c r="I61" s="65" t="n"/>
      <c r="J61" s="51" t="n"/>
      <c r="K61" s="80" t="n"/>
    </row>
    <row r="62">
      <c r="A62" s="58">
        <f>IF(B62="","","R-"&amp;TEXT(ROW()-5,"00"))</f>
        <v/>
      </c>
      <c r="B62" s="65" t="n"/>
      <c r="C62" s="51" t="n"/>
      <c r="D62" s="51" t="n"/>
      <c r="E62" s="51" t="n"/>
      <c r="F62" s="58">
        <f>IF(OR(D62="",E62=""),"",D62*E62)</f>
        <v/>
      </c>
      <c r="G62" s="58">
        <f>IF(F62="","",IF(F62&gt;=15,"High",IF(F62&gt;=8,"Medium","Low")))</f>
        <v/>
      </c>
      <c r="H62" s="51" t="n"/>
      <c r="I62" s="65" t="n"/>
      <c r="J62" s="51" t="n"/>
      <c r="K62" s="80" t="n"/>
    </row>
    <row r="63">
      <c r="A63" s="58">
        <f>IF(B63="","","R-"&amp;TEXT(ROW()-5,"00"))</f>
        <v/>
      </c>
      <c r="B63" s="65" t="n"/>
      <c r="C63" s="51" t="n"/>
      <c r="D63" s="51" t="n"/>
      <c r="E63" s="51" t="n"/>
      <c r="F63" s="58">
        <f>IF(OR(D63="",E63=""),"",D63*E63)</f>
        <v/>
      </c>
      <c r="G63" s="58">
        <f>IF(F63="","",IF(F63&gt;=15,"High",IF(F63&gt;=8,"Medium","Low")))</f>
        <v/>
      </c>
      <c r="H63" s="51" t="n"/>
      <c r="I63" s="65" t="n"/>
      <c r="J63" s="51" t="n"/>
      <c r="K63" s="80" t="n"/>
    </row>
    <row r="64">
      <c r="A64" s="58">
        <f>IF(B64="","","R-"&amp;TEXT(ROW()-5,"00"))</f>
        <v/>
      </c>
      <c r="B64" s="65" t="n"/>
      <c r="C64" s="51" t="n"/>
      <c r="D64" s="51" t="n"/>
      <c r="E64" s="51" t="n"/>
      <c r="F64" s="58">
        <f>IF(OR(D64="",E64=""),"",D64*E64)</f>
        <v/>
      </c>
      <c r="G64" s="58">
        <f>IF(F64="","",IF(F64&gt;=15,"High",IF(F64&gt;=8,"Medium","Low")))</f>
        <v/>
      </c>
      <c r="H64" s="51" t="n"/>
      <c r="I64" s="65" t="n"/>
      <c r="J64" s="51" t="n"/>
      <c r="K64" s="80" t="n"/>
    </row>
    <row r="65">
      <c r="A65" s="58">
        <f>IF(B65="","","R-"&amp;TEXT(ROW()-5,"00"))</f>
        <v/>
      </c>
      <c r="B65" s="65" t="n"/>
      <c r="C65" s="51" t="n"/>
      <c r="D65" s="51" t="n"/>
      <c r="E65" s="51" t="n"/>
      <c r="F65" s="58">
        <f>IF(OR(D65="",E65=""),"",D65*E65)</f>
        <v/>
      </c>
      <c r="G65" s="58">
        <f>IF(F65="","",IF(F65&gt;=15,"High",IF(F65&gt;=8,"Medium","Low")))</f>
        <v/>
      </c>
      <c r="H65" s="51" t="n"/>
      <c r="I65" s="65" t="n"/>
      <c r="J65" s="51" t="n"/>
      <c r="K65" s="80" t="n"/>
    </row>
    <row r="66">
      <c r="A66" s="58">
        <f>IF(B66="","","R-"&amp;TEXT(ROW()-5,"00"))</f>
        <v/>
      </c>
      <c r="B66" s="65" t="n"/>
      <c r="C66" s="51" t="n"/>
      <c r="D66" s="51" t="n"/>
      <c r="E66" s="51" t="n"/>
      <c r="F66" s="58">
        <f>IF(OR(D66="",E66=""),"",D66*E66)</f>
        <v/>
      </c>
      <c r="G66" s="58">
        <f>IF(F66="","",IF(F66&gt;=15,"High",IF(F66&gt;=8,"Medium","Low")))</f>
        <v/>
      </c>
      <c r="H66" s="51" t="n"/>
      <c r="I66" s="65" t="n"/>
      <c r="J66" s="51" t="n"/>
      <c r="K66" s="80" t="n"/>
    </row>
    <row r="67">
      <c r="A67" s="58">
        <f>IF(B67="","","R-"&amp;TEXT(ROW()-5,"00"))</f>
        <v/>
      </c>
      <c r="B67" s="65" t="n"/>
      <c r="C67" s="51" t="n"/>
      <c r="D67" s="51" t="n"/>
      <c r="E67" s="51" t="n"/>
      <c r="F67" s="58">
        <f>IF(OR(D67="",E67=""),"",D67*E67)</f>
        <v/>
      </c>
      <c r="G67" s="58">
        <f>IF(F67="","",IF(F67&gt;=15,"High",IF(F67&gt;=8,"Medium","Low")))</f>
        <v/>
      </c>
      <c r="H67" s="51" t="n"/>
      <c r="I67" s="65" t="n"/>
      <c r="J67" s="51" t="n"/>
      <c r="K67" s="80" t="n"/>
    </row>
    <row r="68">
      <c r="A68" s="58">
        <f>IF(B68="","","R-"&amp;TEXT(ROW()-5,"00"))</f>
        <v/>
      </c>
      <c r="B68" s="65" t="n"/>
      <c r="C68" s="51" t="n"/>
      <c r="D68" s="51" t="n"/>
      <c r="E68" s="51" t="n"/>
      <c r="F68" s="58">
        <f>IF(OR(D68="",E68=""),"",D68*E68)</f>
        <v/>
      </c>
      <c r="G68" s="58">
        <f>IF(F68="","",IF(F68&gt;=15,"High",IF(F68&gt;=8,"Medium","Low")))</f>
        <v/>
      </c>
      <c r="H68" s="51" t="n"/>
      <c r="I68" s="65" t="n"/>
      <c r="J68" s="51" t="n"/>
      <c r="K68" s="80" t="n"/>
    </row>
    <row r="69">
      <c r="A69" s="58">
        <f>IF(B69="","","R-"&amp;TEXT(ROW()-5,"00"))</f>
        <v/>
      </c>
      <c r="B69" s="65" t="n"/>
      <c r="C69" s="51" t="n"/>
      <c r="D69" s="51" t="n"/>
      <c r="E69" s="51" t="n"/>
      <c r="F69" s="58">
        <f>IF(OR(D69="",E69=""),"",D69*E69)</f>
        <v/>
      </c>
      <c r="G69" s="58">
        <f>IF(F69="","",IF(F69&gt;=15,"High",IF(F69&gt;=8,"Medium","Low")))</f>
        <v/>
      </c>
      <c r="H69" s="51" t="n"/>
      <c r="I69" s="65" t="n"/>
      <c r="J69" s="51" t="n"/>
      <c r="K69" s="80" t="n"/>
    </row>
    <row r="70">
      <c r="A70" s="58">
        <f>IF(B70="","","R-"&amp;TEXT(ROW()-5,"00"))</f>
        <v/>
      </c>
      <c r="B70" s="65" t="n"/>
      <c r="C70" s="51" t="n"/>
      <c r="D70" s="51" t="n"/>
      <c r="E70" s="51" t="n"/>
      <c r="F70" s="58">
        <f>IF(OR(D70="",E70=""),"",D70*E70)</f>
        <v/>
      </c>
      <c r="G70" s="58">
        <f>IF(F70="","",IF(F70&gt;=15,"High",IF(F70&gt;=8,"Medium","Low")))</f>
        <v/>
      </c>
      <c r="H70" s="51" t="n"/>
      <c r="I70" s="65" t="n"/>
      <c r="J70" s="51" t="n"/>
      <c r="K70" s="80" t="n"/>
    </row>
    <row r="71">
      <c r="A71" s="58">
        <f>IF(B71="","","R-"&amp;TEXT(ROW()-5,"00"))</f>
        <v/>
      </c>
      <c r="B71" s="65" t="n"/>
      <c r="C71" s="51" t="n"/>
      <c r="D71" s="51" t="n"/>
      <c r="E71" s="51" t="n"/>
      <c r="F71" s="58">
        <f>IF(OR(D71="",E71=""),"",D71*E71)</f>
        <v/>
      </c>
      <c r="G71" s="58">
        <f>IF(F71="","",IF(F71&gt;=15,"High",IF(F71&gt;=8,"Medium","Low")))</f>
        <v/>
      </c>
      <c r="H71" s="51" t="n"/>
      <c r="I71" s="65" t="n"/>
      <c r="J71" s="51" t="n"/>
      <c r="K71" s="80" t="n"/>
    </row>
    <row r="72">
      <c r="A72" s="58">
        <f>IF(B72="","","R-"&amp;TEXT(ROW()-5,"00"))</f>
        <v/>
      </c>
      <c r="B72" s="65" t="n"/>
      <c r="C72" s="51" t="n"/>
      <c r="D72" s="51" t="n"/>
      <c r="E72" s="51" t="n"/>
      <c r="F72" s="58">
        <f>IF(OR(D72="",E72=""),"",D72*E72)</f>
        <v/>
      </c>
      <c r="G72" s="58">
        <f>IF(F72="","",IF(F72&gt;=15,"High",IF(F72&gt;=8,"Medium","Low")))</f>
        <v/>
      </c>
      <c r="H72" s="51" t="n"/>
      <c r="I72" s="65" t="n"/>
      <c r="J72" s="51" t="n"/>
      <c r="K72" s="80" t="n"/>
    </row>
    <row r="73">
      <c r="A73" s="58">
        <f>IF(B73="","","R-"&amp;TEXT(ROW()-5,"00"))</f>
        <v/>
      </c>
      <c r="B73" s="65" t="n"/>
      <c r="C73" s="51" t="n"/>
      <c r="D73" s="51" t="n"/>
      <c r="E73" s="51" t="n"/>
      <c r="F73" s="58">
        <f>IF(OR(D73="",E73=""),"",D73*E73)</f>
        <v/>
      </c>
      <c r="G73" s="58">
        <f>IF(F73="","",IF(F73&gt;=15,"High",IF(F73&gt;=8,"Medium","Low")))</f>
        <v/>
      </c>
      <c r="H73" s="51" t="n"/>
      <c r="I73" s="65" t="n"/>
      <c r="J73" s="51" t="n"/>
      <c r="K73" s="80" t="n"/>
    </row>
    <row r="74">
      <c r="A74" s="58">
        <f>IF(B74="","","R-"&amp;TEXT(ROW()-5,"00"))</f>
        <v/>
      </c>
      <c r="B74" s="65" t="n"/>
      <c r="C74" s="51" t="n"/>
      <c r="D74" s="51" t="n"/>
      <c r="E74" s="51" t="n"/>
      <c r="F74" s="58">
        <f>IF(OR(D74="",E74=""),"",D74*E74)</f>
        <v/>
      </c>
      <c r="G74" s="58">
        <f>IF(F74="","",IF(F74&gt;=15,"High",IF(F74&gt;=8,"Medium","Low")))</f>
        <v/>
      </c>
      <c r="H74" s="51" t="n"/>
      <c r="I74" s="65" t="n"/>
      <c r="J74" s="51" t="n"/>
      <c r="K74" s="80" t="n"/>
    </row>
    <row r="75">
      <c r="A75" s="58">
        <f>IF(B75="","","R-"&amp;TEXT(ROW()-5,"00"))</f>
        <v/>
      </c>
      <c r="B75" s="65" t="n"/>
      <c r="C75" s="51" t="n"/>
      <c r="D75" s="51" t="n"/>
      <c r="E75" s="51" t="n"/>
      <c r="F75" s="58">
        <f>IF(OR(D75="",E75=""),"",D75*E75)</f>
        <v/>
      </c>
      <c r="G75" s="58">
        <f>IF(F75="","",IF(F75&gt;=15,"High",IF(F75&gt;=8,"Medium","Low")))</f>
        <v/>
      </c>
      <c r="H75" s="51" t="n"/>
      <c r="I75" s="65" t="n"/>
      <c r="J75" s="51" t="n"/>
      <c r="K75" s="80" t="n"/>
    </row>
    <row r="76">
      <c r="A76" s="58">
        <f>IF(B76="","","R-"&amp;TEXT(ROW()-5,"00"))</f>
        <v/>
      </c>
      <c r="B76" s="65" t="n"/>
      <c r="C76" s="51" t="n"/>
      <c r="D76" s="51" t="n"/>
      <c r="E76" s="51" t="n"/>
      <c r="F76" s="58">
        <f>IF(OR(D76="",E76=""),"",D76*E76)</f>
        <v/>
      </c>
      <c r="G76" s="58">
        <f>IF(F76="","",IF(F76&gt;=15,"High",IF(F76&gt;=8,"Medium","Low")))</f>
        <v/>
      </c>
      <c r="H76" s="51" t="n"/>
      <c r="I76" s="65" t="n"/>
      <c r="J76" s="51" t="n"/>
      <c r="K76" s="80" t="n"/>
    </row>
    <row r="77">
      <c r="A77" s="58">
        <f>IF(B77="","","R-"&amp;TEXT(ROW()-5,"00"))</f>
        <v/>
      </c>
      <c r="B77" s="65" t="n"/>
      <c r="C77" s="51" t="n"/>
      <c r="D77" s="51" t="n"/>
      <c r="E77" s="51" t="n"/>
      <c r="F77" s="58">
        <f>IF(OR(D77="",E77=""),"",D77*E77)</f>
        <v/>
      </c>
      <c r="G77" s="58">
        <f>IF(F77="","",IF(F77&gt;=15,"High",IF(F77&gt;=8,"Medium","Low")))</f>
        <v/>
      </c>
      <c r="H77" s="51" t="n"/>
      <c r="I77" s="65" t="n"/>
      <c r="J77" s="51" t="n"/>
      <c r="K77" s="80" t="n"/>
    </row>
    <row r="78">
      <c r="A78" s="58">
        <f>IF(B78="","","R-"&amp;TEXT(ROW()-5,"00"))</f>
        <v/>
      </c>
      <c r="B78" s="65" t="n"/>
      <c r="C78" s="51" t="n"/>
      <c r="D78" s="51" t="n"/>
      <c r="E78" s="51" t="n"/>
      <c r="F78" s="58">
        <f>IF(OR(D78="",E78=""),"",D78*E78)</f>
        <v/>
      </c>
      <c r="G78" s="58">
        <f>IF(F78="","",IF(F78&gt;=15,"High",IF(F78&gt;=8,"Medium","Low")))</f>
        <v/>
      </c>
      <c r="H78" s="51" t="n"/>
      <c r="I78" s="65" t="n"/>
      <c r="J78" s="51" t="n"/>
      <c r="K78" s="80" t="n"/>
    </row>
    <row r="79">
      <c r="A79" s="58">
        <f>IF(B79="","","R-"&amp;TEXT(ROW()-5,"00"))</f>
        <v/>
      </c>
      <c r="B79" s="65" t="n"/>
      <c r="C79" s="51" t="n"/>
      <c r="D79" s="51" t="n"/>
      <c r="E79" s="51" t="n"/>
      <c r="F79" s="58">
        <f>IF(OR(D79="",E79=""),"",D79*E79)</f>
        <v/>
      </c>
      <c r="G79" s="58">
        <f>IF(F79="","",IF(F79&gt;=15,"High",IF(F79&gt;=8,"Medium","Low")))</f>
        <v/>
      </c>
      <c r="H79" s="51" t="n"/>
      <c r="I79" s="65" t="n"/>
      <c r="J79" s="51" t="n"/>
      <c r="K79" s="80" t="n"/>
    </row>
    <row r="80">
      <c r="A80" s="58">
        <f>IF(B80="","","R-"&amp;TEXT(ROW()-5,"00"))</f>
        <v/>
      </c>
      <c r="B80" s="65" t="n"/>
      <c r="C80" s="51" t="n"/>
      <c r="D80" s="51" t="n"/>
      <c r="E80" s="51" t="n"/>
      <c r="F80" s="58">
        <f>IF(OR(D80="",E80=""),"",D80*E80)</f>
        <v/>
      </c>
      <c r="G80" s="58">
        <f>IF(F80="","",IF(F80&gt;=15,"High",IF(F80&gt;=8,"Medium","Low")))</f>
        <v/>
      </c>
      <c r="H80" s="51" t="n"/>
      <c r="I80" s="65" t="n"/>
      <c r="J80" s="51" t="n"/>
      <c r="K80" s="80" t="n"/>
    </row>
    <row r="81">
      <c r="A81" s="58">
        <f>IF(B81="","","R-"&amp;TEXT(ROW()-5,"00"))</f>
        <v/>
      </c>
      <c r="B81" s="65" t="n"/>
      <c r="C81" s="51" t="n"/>
      <c r="D81" s="51" t="n"/>
      <c r="E81" s="51" t="n"/>
      <c r="F81" s="58">
        <f>IF(OR(D81="",E81=""),"",D81*E81)</f>
        <v/>
      </c>
      <c r="G81" s="58">
        <f>IF(F81="","",IF(F81&gt;=15,"High",IF(F81&gt;=8,"Medium","Low")))</f>
        <v/>
      </c>
      <c r="H81" s="51" t="n"/>
      <c r="I81" s="65" t="n"/>
      <c r="J81" s="51" t="n"/>
      <c r="K81" s="80" t="n"/>
    </row>
    <row r="82">
      <c r="A82" s="58">
        <f>IF(B82="","","R-"&amp;TEXT(ROW()-5,"00"))</f>
        <v/>
      </c>
      <c r="B82" s="65" t="n"/>
      <c r="C82" s="51" t="n"/>
      <c r="D82" s="51" t="n"/>
      <c r="E82" s="51" t="n"/>
      <c r="F82" s="58">
        <f>IF(OR(D82="",E82=""),"",D82*E82)</f>
        <v/>
      </c>
      <c r="G82" s="58">
        <f>IF(F82="","",IF(F82&gt;=15,"High",IF(F82&gt;=8,"Medium","Low")))</f>
        <v/>
      </c>
      <c r="H82" s="51" t="n"/>
      <c r="I82" s="65" t="n"/>
      <c r="J82" s="51" t="n"/>
      <c r="K82" s="80" t="n"/>
    </row>
    <row r="83">
      <c r="A83" s="58">
        <f>IF(B83="","","R-"&amp;TEXT(ROW()-5,"00"))</f>
        <v/>
      </c>
      <c r="B83" s="65" t="n"/>
      <c r="C83" s="51" t="n"/>
      <c r="D83" s="51" t="n"/>
      <c r="E83" s="51" t="n"/>
      <c r="F83" s="58">
        <f>IF(OR(D83="",E83=""),"",D83*E83)</f>
        <v/>
      </c>
      <c r="G83" s="58">
        <f>IF(F83="","",IF(F83&gt;=15,"High",IF(F83&gt;=8,"Medium","Low")))</f>
        <v/>
      </c>
      <c r="H83" s="51" t="n"/>
      <c r="I83" s="65" t="n"/>
      <c r="J83" s="51" t="n"/>
      <c r="K83" s="80" t="n"/>
    </row>
    <row r="84">
      <c r="A84" s="58">
        <f>IF(B84="","","R-"&amp;TEXT(ROW()-5,"00"))</f>
        <v/>
      </c>
      <c r="B84" s="65" t="n"/>
      <c r="C84" s="51" t="n"/>
      <c r="D84" s="51" t="n"/>
      <c r="E84" s="51" t="n"/>
      <c r="F84" s="58">
        <f>IF(OR(D84="",E84=""),"",D84*E84)</f>
        <v/>
      </c>
      <c r="G84" s="58">
        <f>IF(F84="","",IF(F84&gt;=15,"High",IF(F84&gt;=8,"Medium","Low")))</f>
        <v/>
      </c>
      <c r="H84" s="51" t="n"/>
      <c r="I84" s="65" t="n"/>
      <c r="J84" s="51" t="n"/>
      <c r="K84" s="80" t="n"/>
    </row>
    <row r="85">
      <c r="A85" s="58">
        <f>IF(B85="","","R-"&amp;TEXT(ROW()-5,"00"))</f>
        <v/>
      </c>
      <c r="B85" s="65" t="n"/>
      <c r="C85" s="51" t="n"/>
      <c r="D85" s="51" t="n"/>
      <c r="E85" s="51" t="n"/>
      <c r="F85" s="58">
        <f>IF(OR(D85="",E85=""),"",D85*E85)</f>
        <v/>
      </c>
      <c r="G85" s="58">
        <f>IF(F85="","",IF(F85&gt;=15,"High",IF(F85&gt;=8,"Medium","Low")))</f>
        <v/>
      </c>
      <c r="H85" s="51" t="n"/>
      <c r="I85" s="65" t="n"/>
      <c r="J85" s="51" t="n"/>
      <c r="K85" s="80" t="n"/>
    </row>
    <row r="86">
      <c r="A86" s="58">
        <f>IF(B86="","","R-"&amp;TEXT(ROW()-5,"00"))</f>
        <v/>
      </c>
      <c r="B86" s="65" t="n"/>
      <c r="C86" s="51" t="n"/>
      <c r="D86" s="51" t="n"/>
      <c r="E86" s="51" t="n"/>
      <c r="F86" s="58">
        <f>IF(OR(D86="",E86=""),"",D86*E86)</f>
        <v/>
      </c>
      <c r="G86" s="58">
        <f>IF(F86="","",IF(F86&gt;=15,"High",IF(F86&gt;=8,"Medium","Low")))</f>
        <v/>
      </c>
      <c r="H86" s="51" t="n"/>
      <c r="I86" s="65" t="n"/>
      <c r="J86" s="51" t="n"/>
      <c r="K86" s="80" t="n"/>
    </row>
    <row r="87">
      <c r="A87" s="58">
        <f>IF(B87="","","R-"&amp;TEXT(ROW()-5,"00"))</f>
        <v/>
      </c>
      <c r="B87" s="65" t="n"/>
      <c r="C87" s="51" t="n"/>
      <c r="D87" s="51" t="n"/>
      <c r="E87" s="51" t="n"/>
      <c r="F87" s="58">
        <f>IF(OR(D87="",E87=""),"",D87*E87)</f>
        <v/>
      </c>
      <c r="G87" s="58">
        <f>IF(F87="","",IF(F87&gt;=15,"High",IF(F87&gt;=8,"Medium","Low")))</f>
        <v/>
      </c>
      <c r="H87" s="51" t="n"/>
      <c r="I87" s="65" t="n"/>
      <c r="J87" s="51" t="n"/>
      <c r="K87" s="80" t="n"/>
    </row>
    <row r="88">
      <c r="A88" s="58">
        <f>IF(B88="","","R-"&amp;TEXT(ROW()-5,"00"))</f>
        <v/>
      </c>
      <c r="B88" s="65" t="n"/>
      <c r="C88" s="51" t="n"/>
      <c r="D88" s="51" t="n"/>
      <c r="E88" s="51" t="n"/>
      <c r="F88" s="58">
        <f>IF(OR(D88="",E88=""),"",D88*E88)</f>
        <v/>
      </c>
      <c r="G88" s="58">
        <f>IF(F88="","",IF(F88&gt;=15,"High",IF(F88&gt;=8,"Medium","Low")))</f>
        <v/>
      </c>
      <c r="H88" s="51" t="n"/>
      <c r="I88" s="65" t="n"/>
      <c r="J88" s="51" t="n"/>
      <c r="K88" s="80" t="n"/>
    </row>
    <row r="89">
      <c r="A89" s="58">
        <f>IF(B89="","","R-"&amp;TEXT(ROW()-5,"00"))</f>
        <v/>
      </c>
      <c r="B89" s="65" t="n"/>
      <c r="C89" s="51" t="n"/>
      <c r="D89" s="51" t="n"/>
      <c r="E89" s="51" t="n"/>
      <c r="F89" s="58">
        <f>IF(OR(D89="",E89=""),"",D89*E89)</f>
        <v/>
      </c>
      <c r="G89" s="58">
        <f>IF(F89="","",IF(F89&gt;=15,"High",IF(F89&gt;=8,"Medium","Low")))</f>
        <v/>
      </c>
      <c r="H89" s="51" t="n"/>
      <c r="I89" s="65" t="n"/>
      <c r="J89" s="51" t="n"/>
      <c r="K89" s="80" t="n"/>
    </row>
    <row r="90">
      <c r="A90" s="58">
        <f>IF(B90="","","R-"&amp;TEXT(ROW()-5,"00"))</f>
        <v/>
      </c>
      <c r="B90" s="65" t="n"/>
      <c r="C90" s="51" t="n"/>
      <c r="D90" s="51" t="n"/>
      <c r="E90" s="51" t="n"/>
      <c r="F90" s="58">
        <f>IF(OR(D90="",E90=""),"",D90*E90)</f>
        <v/>
      </c>
      <c r="G90" s="58">
        <f>IF(F90="","",IF(F90&gt;=15,"High",IF(F90&gt;=8,"Medium","Low")))</f>
        <v/>
      </c>
      <c r="H90" s="51" t="n"/>
      <c r="I90" s="65" t="n"/>
      <c r="J90" s="51" t="n"/>
      <c r="K90" s="80" t="n"/>
    </row>
    <row r="91">
      <c r="A91" s="58">
        <f>IF(B91="","","R-"&amp;TEXT(ROW()-5,"00"))</f>
        <v/>
      </c>
      <c r="B91" s="65" t="n"/>
      <c r="C91" s="51" t="n"/>
      <c r="D91" s="51" t="n"/>
      <c r="E91" s="51" t="n"/>
      <c r="F91" s="58">
        <f>IF(OR(D91="",E91=""),"",D91*E91)</f>
        <v/>
      </c>
      <c r="G91" s="58">
        <f>IF(F91="","",IF(F91&gt;=15,"High",IF(F91&gt;=8,"Medium","Low")))</f>
        <v/>
      </c>
      <c r="H91" s="51" t="n"/>
      <c r="I91" s="65" t="n"/>
      <c r="J91" s="51" t="n"/>
      <c r="K91" s="80" t="n"/>
    </row>
    <row r="92">
      <c r="A92" s="58">
        <f>IF(B92="","","R-"&amp;TEXT(ROW()-5,"00"))</f>
        <v/>
      </c>
      <c r="B92" s="65" t="n"/>
      <c r="C92" s="51" t="n"/>
      <c r="D92" s="51" t="n"/>
      <c r="E92" s="51" t="n"/>
      <c r="F92" s="58">
        <f>IF(OR(D92="",E92=""),"",D92*E92)</f>
        <v/>
      </c>
      <c r="G92" s="58">
        <f>IF(F92="","",IF(F92&gt;=15,"High",IF(F92&gt;=8,"Medium","Low")))</f>
        <v/>
      </c>
      <c r="H92" s="51" t="n"/>
      <c r="I92" s="65" t="n"/>
      <c r="J92" s="51" t="n"/>
      <c r="K92" s="80" t="n"/>
    </row>
    <row r="93">
      <c r="A93" s="58">
        <f>IF(B93="","","R-"&amp;TEXT(ROW()-5,"00"))</f>
        <v/>
      </c>
      <c r="B93" s="65" t="n"/>
      <c r="C93" s="51" t="n"/>
      <c r="D93" s="51" t="n"/>
      <c r="E93" s="51" t="n"/>
      <c r="F93" s="58">
        <f>IF(OR(D93="",E93=""),"",D93*E93)</f>
        <v/>
      </c>
      <c r="G93" s="58">
        <f>IF(F93="","",IF(F93&gt;=15,"High",IF(F93&gt;=8,"Medium","Low")))</f>
        <v/>
      </c>
      <c r="H93" s="51" t="n"/>
      <c r="I93" s="65" t="n"/>
      <c r="J93" s="51" t="n"/>
      <c r="K93" s="80" t="n"/>
    </row>
    <row r="94">
      <c r="A94" s="58">
        <f>IF(B94="","","R-"&amp;TEXT(ROW()-5,"00"))</f>
        <v/>
      </c>
      <c r="B94" s="65" t="n"/>
      <c r="C94" s="51" t="n"/>
      <c r="D94" s="51" t="n"/>
      <c r="E94" s="51" t="n"/>
      <c r="F94" s="58">
        <f>IF(OR(D94="",E94=""),"",D94*E94)</f>
        <v/>
      </c>
      <c r="G94" s="58">
        <f>IF(F94="","",IF(F94&gt;=15,"High",IF(F94&gt;=8,"Medium","Low")))</f>
        <v/>
      </c>
      <c r="H94" s="51" t="n"/>
      <c r="I94" s="65" t="n"/>
      <c r="J94" s="51" t="n"/>
      <c r="K94" s="80" t="n"/>
    </row>
    <row r="95">
      <c r="A95" s="58">
        <f>IF(B95="","","R-"&amp;TEXT(ROW()-5,"00"))</f>
        <v/>
      </c>
      <c r="B95" s="65" t="n"/>
      <c r="C95" s="51" t="n"/>
      <c r="D95" s="51" t="n"/>
      <c r="E95" s="51" t="n"/>
      <c r="F95" s="58">
        <f>IF(OR(D95="",E95=""),"",D95*E95)</f>
        <v/>
      </c>
      <c r="G95" s="58">
        <f>IF(F95="","",IF(F95&gt;=15,"High",IF(F95&gt;=8,"Medium","Low")))</f>
        <v/>
      </c>
      <c r="H95" s="51" t="n"/>
      <c r="I95" s="65" t="n"/>
      <c r="J95" s="51" t="n"/>
      <c r="K95" s="80" t="n"/>
    </row>
    <row r="96">
      <c r="A96" s="58">
        <f>IF(B96="","","R-"&amp;TEXT(ROW()-5,"00"))</f>
        <v/>
      </c>
      <c r="B96" s="65" t="n"/>
      <c r="C96" s="51" t="n"/>
      <c r="D96" s="51" t="n"/>
      <c r="E96" s="51" t="n"/>
      <c r="F96" s="58">
        <f>IF(OR(D96="",E96=""),"",D96*E96)</f>
        <v/>
      </c>
      <c r="G96" s="58">
        <f>IF(F96="","",IF(F96&gt;=15,"High",IF(F96&gt;=8,"Medium","Low")))</f>
        <v/>
      </c>
      <c r="H96" s="51" t="n"/>
      <c r="I96" s="65" t="n"/>
      <c r="J96" s="51" t="n"/>
      <c r="K96" s="80" t="n"/>
    </row>
    <row r="97">
      <c r="A97" s="58">
        <f>IF(B97="","","R-"&amp;TEXT(ROW()-5,"00"))</f>
        <v/>
      </c>
      <c r="B97" s="65" t="n"/>
      <c r="C97" s="51" t="n"/>
      <c r="D97" s="51" t="n"/>
      <c r="E97" s="51" t="n"/>
      <c r="F97" s="58">
        <f>IF(OR(D97="",E97=""),"",D97*E97)</f>
        <v/>
      </c>
      <c r="G97" s="58">
        <f>IF(F97="","",IF(F97&gt;=15,"High",IF(F97&gt;=8,"Medium","Low")))</f>
        <v/>
      </c>
      <c r="H97" s="51" t="n"/>
      <c r="I97" s="65" t="n"/>
      <c r="J97" s="51" t="n"/>
      <c r="K97" s="80" t="n"/>
    </row>
    <row r="98">
      <c r="A98" s="58">
        <f>IF(B98="","","R-"&amp;TEXT(ROW()-5,"00"))</f>
        <v/>
      </c>
      <c r="B98" s="65" t="n"/>
      <c r="C98" s="51" t="n"/>
      <c r="D98" s="51" t="n"/>
      <c r="E98" s="51" t="n"/>
      <c r="F98" s="58">
        <f>IF(OR(D98="",E98=""),"",D98*E98)</f>
        <v/>
      </c>
      <c r="G98" s="58">
        <f>IF(F98="","",IF(F98&gt;=15,"High",IF(F98&gt;=8,"Medium","Low")))</f>
        <v/>
      </c>
      <c r="H98" s="51" t="n"/>
      <c r="I98" s="65" t="n"/>
      <c r="J98" s="51" t="n"/>
      <c r="K98" s="80" t="n"/>
    </row>
    <row r="99">
      <c r="A99" s="58">
        <f>IF(B99="","","R-"&amp;TEXT(ROW()-5,"00"))</f>
        <v/>
      </c>
      <c r="B99" s="65" t="n"/>
      <c r="C99" s="51" t="n"/>
      <c r="D99" s="51" t="n"/>
      <c r="E99" s="51" t="n"/>
      <c r="F99" s="58">
        <f>IF(OR(D99="",E99=""),"",D99*E99)</f>
        <v/>
      </c>
      <c r="G99" s="58">
        <f>IF(F99="","",IF(F99&gt;=15,"High",IF(F99&gt;=8,"Medium","Low")))</f>
        <v/>
      </c>
      <c r="H99" s="51" t="n"/>
      <c r="I99" s="65" t="n"/>
      <c r="J99" s="51" t="n"/>
      <c r="K99" s="80" t="n"/>
    </row>
    <row r="100">
      <c r="A100" s="58">
        <f>IF(B100="","","R-"&amp;TEXT(ROW()-5,"00"))</f>
        <v/>
      </c>
      <c r="B100" s="65" t="n"/>
      <c r="C100" s="51" t="n"/>
      <c r="D100" s="51" t="n"/>
      <c r="E100" s="51" t="n"/>
      <c r="F100" s="58">
        <f>IF(OR(D100="",E100=""),"",D100*E100)</f>
        <v/>
      </c>
      <c r="G100" s="58">
        <f>IF(F100="","",IF(F100&gt;=15,"High",IF(F100&gt;=8,"Medium","Low")))</f>
        <v/>
      </c>
      <c r="H100" s="51" t="n"/>
      <c r="I100" s="65" t="n"/>
      <c r="J100" s="51" t="n"/>
      <c r="K100" s="80" t="n"/>
    </row>
    <row r="101">
      <c r="A101" s="58">
        <f>IF(B101="","","R-"&amp;TEXT(ROW()-5,"00"))</f>
        <v/>
      </c>
      <c r="B101" s="65" t="n"/>
      <c r="C101" s="51" t="n"/>
      <c r="D101" s="51" t="n"/>
      <c r="E101" s="51" t="n"/>
      <c r="F101" s="58">
        <f>IF(OR(D101="",E101=""),"",D101*E101)</f>
        <v/>
      </c>
      <c r="G101" s="58">
        <f>IF(F101="","",IF(F101&gt;=15,"High",IF(F101&gt;=8,"Medium","Low")))</f>
        <v/>
      </c>
      <c r="H101" s="51" t="n"/>
      <c r="I101" s="65" t="n"/>
      <c r="J101" s="51" t="n"/>
      <c r="K101" s="80" t="n"/>
    </row>
    <row r="102">
      <c r="A102" s="58">
        <f>IF(B102="","","R-"&amp;TEXT(ROW()-5,"00"))</f>
        <v/>
      </c>
      <c r="B102" s="65" t="n"/>
      <c r="C102" s="51" t="n"/>
      <c r="D102" s="51" t="n"/>
      <c r="E102" s="51" t="n"/>
      <c r="F102" s="58">
        <f>IF(OR(D102="",E102=""),"",D102*E102)</f>
        <v/>
      </c>
      <c r="G102" s="58">
        <f>IF(F102="","",IF(F102&gt;=15,"High",IF(F102&gt;=8,"Medium","Low")))</f>
        <v/>
      </c>
      <c r="H102" s="51" t="n"/>
      <c r="I102" s="65" t="n"/>
      <c r="J102" s="51" t="n"/>
      <c r="K102" s="80" t="n"/>
    </row>
    <row r="103">
      <c r="A103" s="58">
        <f>IF(B103="","","R-"&amp;TEXT(ROW()-5,"00"))</f>
        <v/>
      </c>
      <c r="B103" s="65" t="n"/>
      <c r="C103" s="51" t="n"/>
      <c r="D103" s="51" t="n"/>
      <c r="E103" s="51" t="n"/>
      <c r="F103" s="58">
        <f>IF(OR(D103="",E103=""),"",D103*E103)</f>
        <v/>
      </c>
      <c r="G103" s="58">
        <f>IF(F103="","",IF(F103&gt;=15,"High",IF(F103&gt;=8,"Medium","Low")))</f>
        <v/>
      </c>
      <c r="H103" s="51" t="n"/>
      <c r="I103" s="65" t="n"/>
      <c r="J103" s="51" t="n"/>
      <c r="K103" s="80" t="n"/>
    </row>
    <row r="104">
      <c r="A104" s="58">
        <f>IF(B104="","","R-"&amp;TEXT(ROW()-5,"00"))</f>
        <v/>
      </c>
      <c r="B104" s="65" t="n"/>
      <c r="C104" s="51" t="n"/>
      <c r="D104" s="51" t="n"/>
      <c r="E104" s="51" t="n"/>
      <c r="F104" s="58">
        <f>IF(OR(D104="",E104=""),"",D104*E104)</f>
        <v/>
      </c>
      <c r="G104" s="58">
        <f>IF(F104="","",IF(F104&gt;=15,"High",IF(F104&gt;=8,"Medium","Low")))</f>
        <v/>
      </c>
      <c r="H104" s="51" t="n"/>
      <c r="I104" s="65" t="n"/>
      <c r="J104" s="51" t="n"/>
      <c r="K104" s="80" t="n"/>
    </row>
    <row r="105">
      <c r="A105" s="58">
        <f>IF(B105="","","R-"&amp;TEXT(ROW()-5,"00"))</f>
        <v/>
      </c>
      <c r="B105" s="65" t="n"/>
      <c r="C105" s="51" t="n"/>
      <c r="D105" s="51" t="n"/>
      <c r="E105" s="51" t="n"/>
      <c r="F105" s="58">
        <f>IF(OR(D105="",E105=""),"",D105*E105)</f>
        <v/>
      </c>
      <c r="G105" s="58">
        <f>IF(F105="","",IF(F105&gt;=15,"High",IF(F105&gt;=8,"Medium","Low")))</f>
        <v/>
      </c>
      <c r="H105" s="51" t="n"/>
      <c r="I105" s="65" t="n"/>
      <c r="J105" s="51" t="n"/>
      <c r="K105" s="80" t="n"/>
    </row>
  </sheetData>
  <autoFilter ref="A5:K105"/>
  <conditionalFormatting sqref="F6:F105">
    <cfRule type="colorScale" priority="1">
      <colorScale>
        <cfvo type="num" val="1"/>
        <cfvo type="num" val="8"/>
        <cfvo type="num" val="25"/>
        <color rgb="00D1FADF"/>
        <color rgb="00FEF0C7"/>
        <color rgb="00FDA29B"/>
      </colorScale>
    </cfRule>
  </conditionalFormatting>
  <conditionalFormatting sqref="G6:G105">
    <cfRule type="cellIs" priority="2" operator="equal" dxfId="4">
      <formula>"High"</formula>
    </cfRule>
  </conditionalFormatting>
  <conditionalFormatting sqref="B6:J105">
    <cfRule type="expression" priority="3" dxfId="23">
      <formula>$J6="Closed"</formula>
    </cfRule>
  </conditionalFormatting>
  <dataValidations count="4">
    <dataValidation sqref="C6:C105" showDropDown="0" showInputMessage="0" showErrorMessage="0" allowBlank="1" type="list">
      <formula1>"Risk,Issue"</formula1>
    </dataValidation>
    <dataValidation sqref="D6:E105" showDropDown="0" showInputMessage="0" showErrorMessage="1" allowBlank="1" error="Enter a whole number from 1 (low) to 5 (high)." type="whole" operator="between">
      <formula1>1</formula1>
      <formula2>5</formula2>
    </dataValidation>
    <dataValidation sqref="H6:H105" showDropDown="0" showInputMessage="0" showErrorMessage="1" allowBlank="1" errorTitle="Not in the list" error="Pick a value from the drop-down (lists are on the Settings sheet)." type="list">
      <formula1>=Members</formula1>
    </dataValidation>
    <dataValidation sqref="J6:J105" showDropDown="0" showInputMessage="0" showErrorMessage="1" allowBlank="1" errorTitle="Not in the list" error="Pick a value from the drop-down (lists are on the Settings sheet)." type="list">
      <formula1>=RiskStatus</formula1>
    </dataValidation>
  </dataValidations>
  <hyperlinks>
    <hyperlink xmlns:r="http://schemas.openxmlformats.org/officeDocument/2006/relationships" ref="A3" r:id="rId1"/>
  </hyperlink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2026-10-09T10:40:55Z</dcterms:created>
  <dcterms:modified xsi:type="dcterms:W3CDTF">2026-10-09T10:40:56Z</dcterms:modified>
</cp:coreProperties>
</file>